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tion" sheetId="1" r:id="rId4"/>
    <sheet state="visible" name="Player List" sheetId="2" r:id="rId5"/>
    <sheet state="hidden" name="Sheet3" sheetId="3" r:id="rId6"/>
  </sheets>
  <definedNames/>
  <calcPr/>
</workbook>
</file>

<file path=xl/sharedStrings.xml><?xml version="1.0" encoding="utf-8"?>
<sst xmlns="http://schemas.openxmlformats.org/spreadsheetml/2006/main" count="1888" uniqueCount="430">
  <si>
    <t>Chennai Super Kings (CSK)</t>
  </si>
  <si>
    <t>Royal Challengers Bengaluru (RCB)</t>
  </si>
  <si>
    <t>Mumbai Indians (MI)</t>
  </si>
  <si>
    <t>Delhi Capitals (DC)</t>
  </si>
  <si>
    <t>Players</t>
  </si>
  <si>
    <t xml:space="preserve">Purchase Price </t>
  </si>
  <si>
    <t>Category</t>
  </si>
  <si>
    <t>Phil Salt</t>
  </si>
  <si>
    <t>Rashid Khan</t>
  </si>
  <si>
    <t>Cameron Green</t>
  </si>
  <si>
    <t>Shikhar Dhawan</t>
  </si>
  <si>
    <t>Venkatesh Iyer</t>
  </si>
  <si>
    <t>Mandeep Singh</t>
  </si>
  <si>
    <t>Andre Russell</t>
  </si>
  <si>
    <t>Murugan Ashwin</t>
  </si>
  <si>
    <t>Dinesh Karthik</t>
  </si>
  <si>
    <t>Washington Sundar</t>
  </si>
  <si>
    <t>Manish Pandey</t>
  </si>
  <si>
    <t>Josh Hazlewood</t>
  </si>
  <si>
    <t>ALL BIDS ARE  IN 100,000 INCREMENTS</t>
  </si>
  <si>
    <t>BIDS ON PLAYER</t>
  </si>
  <si>
    <t>Total Indians</t>
  </si>
  <si>
    <t>Total Overseas</t>
  </si>
  <si>
    <t>Total Players</t>
  </si>
  <si>
    <t>PLAYER IN BID</t>
  </si>
  <si>
    <t>Players Left</t>
  </si>
  <si>
    <t>Last Player Sold</t>
  </si>
  <si>
    <t>Bid By Team</t>
  </si>
  <si>
    <t>Base Price</t>
  </si>
  <si>
    <t>Sale Price</t>
  </si>
  <si>
    <t>Current Price</t>
  </si>
  <si>
    <t>Players Sold</t>
  </si>
  <si>
    <t>Player Name</t>
  </si>
  <si>
    <t>Base Price (₹)</t>
  </si>
  <si>
    <t>Selling Price</t>
  </si>
  <si>
    <t>Status</t>
  </si>
  <si>
    <t>Sold To</t>
  </si>
  <si>
    <t>Next Random Player</t>
  </si>
  <si>
    <t>Mayank Agarwal</t>
  </si>
  <si>
    <t>Virat Kohli</t>
  </si>
  <si>
    <t>Indian</t>
  </si>
  <si>
    <t>Unsold</t>
  </si>
  <si>
    <t>Rohit Sharma</t>
  </si>
  <si>
    <t>MS Dhoni</t>
  </si>
  <si>
    <t>AB de Villiers</t>
  </si>
  <si>
    <t>Overseas</t>
  </si>
  <si>
    <t>David Warner</t>
  </si>
  <si>
    <t>Hardik Pandya</t>
  </si>
  <si>
    <t>Jasprit Bumrah</t>
  </si>
  <si>
    <t>KL Rahul</t>
  </si>
  <si>
    <t>Sold</t>
  </si>
  <si>
    <t>Ben Stokes</t>
  </si>
  <si>
    <t>Jos Buttler</t>
  </si>
  <si>
    <t>Pat Cummins</t>
  </si>
  <si>
    <t>Faf du Plessis</t>
  </si>
  <si>
    <t>Glenn Maxwell</t>
  </si>
  <si>
    <t>Sam Curran</t>
  </si>
  <si>
    <t>Sanju Samson</t>
  </si>
  <si>
    <t>Rishabh Pant</t>
  </si>
  <si>
    <t>Kieron Pollard</t>
  </si>
  <si>
    <t>Jofra Archer</t>
  </si>
  <si>
    <t>Mohammed Shami</t>
  </si>
  <si>
    <t>Bhuvneshwar Kumar</t>
  </si>
  <si>
    <t>Sunil Narine</t>
  </si>
  <si>
    <t>Nicholas Pooran</t>
  </si>
  <si>
    <t>Kagiso Rabada</t>
  </si>
  <si>
    <t>Yuzvendra Chahal</t>
  </si>
  <si>
    <t>Deepak Chahar</t>
  </si>
  <si>
    <t>R Ashwin</t>
  </si>
  <si>
    <t xml:space="preserve">Jason </t>
  </si>
  <si>
    <t>Anrich Nortje</t>
  </si>
  <si>
    <t>Marcus Stoinis</t>
  </si>
  <si>
    <t>Moeen Ali</t>
  </si>
  <si>
    <t>Shubman Gill</t>
  </si>
  <si>
    <t>Rahul Tewatia</t>
  </si>
  <si>
    <t>Nitish Rana</t>
  </si>
  <si>
    <t>T Natarajan</t>
  </si>
  <si>
    <t>Kyle Jamieson</t>
  </si>
  <si>
    <t>Robin Uthappa</t>
  </si>
  <si>
    <t>Kuldeep Yadav</t>
  </si>
  <si>
    <t>Rahul Tripathi</t>
  </si>
  <si>
    <t>Murali Vijay</t>
  </si>
  <si>
    <t>Lockie Ferguson</t>
  </si>
  <si>
    <t>Rilee Rossouw</t>
  </si>
  <si>
    <t>Shimron Hetmyer</t>
  </si>
  <si>
    <t>Sarfaraz Khan</t>
  </si>
  <si>
    <t>Tilak Varma</t>
  </si>
  <si>
    <t>Arshdeep Singh</t>
  </si>
  <si>
    <t>Suresh Raina</t>
  </si>
  <si>
    <t>Krunal Pandya</t>
  </si>
  <si>
    <t>Ambati Rayudu</t>
  </si>
  <si>
    <t xml:space="preserve">Rahul </t>
  </si>
  <si>
    <t>Jason Holder</t>
  </si>
  <si>
    <t>Alzarri Joseph</t>
  </si>
  <si>
    <t>Jonny Bairstow</t>
  </si>
  <si>
    <t>Cheteshwar Pujara</t>
  </si>
  <si>
    <t>Hanuma Vihari</t>
  </si>
  <si>
    <t>Priyank Garg</t>
  </si>
  <si>
    <t>Kane Williamson</t>
  </si>
  <si>
    <t>Previous Contract/Retained Value (INR)</t>
  </si>
  <si>
    <t>Current Value (INR)</t>
  </si>
  <si>
    <t>Region</t>
  </si>
  <si>
    <t>Team</t>
  </si>
  <si>
    <t>12,00,00,000</t>
  </si>
  <si>
    <t>India</t>
  </si>
  <si>
    <t>CSK</t>
  </si>
  <si>
    <t>8,00,00,000</t>
  </si>
  <si>
    <t>England</t>
  </si>
  <si>
    <t>14,00,00,000</t>
  </si>
  <si>
    <t>Devon Conway</t>
  </si>
  <si>
    <t>1,00,00,000</t>
  </si>
  <si>
    <t>New Zealand</t>
  </si>
  <si>
    <t>Tushar Deshpande</t>
  </si>
  <si>
    <t>20,00,000</t>
  </si>
  <si>
    <t>Shivam Dube</t>
  </si>
  <si>
    <t>4,00,00,000</t>
  </si>
  <si>
    <t>Ruturaj Gaikwad</t>
  </si>
  <si>
    <t>6,00,00,000</t>
  </si>
  <si>
    <t>Rajvardhan Hangargekar</t>
  </si>
  <si>
    <t>1,50,00,000</t>
  </si>
  <si>
    <t>Ravindra Jadeja</t>
  </si>
  <si>
    <t>16,00,00,000</t>
  </si>
  <si>
    <t>Ajay Mandal</t>
  </si>
  <si>
    <t>20,00,00,000</t>
  </si>
  <si>
    <t>Mukesh Choudhary</t>
  </si>
  <si>
    <t>Matheesha Pathirana</t>
  </si>
  <si>
    <t>Sri Lanka</t>
  </si>
  <si>
    <t>Ajinkya Rahane</t>
  </si>
  <si>
    <t>50,00,000</t>
  </si>
  <si>
    <t>Shaik Rasheed</t>
  </si>
  <si>
    <t>Mitchell Santner</t>
  </si>
  <si>
    <t>1,90,00,000</t>
  </si>
  <si>
    <t>Simarjeet Singh</t>
  </si>
  <si>
    <t>Nishant Sindhu</t>
  </si>
  <si>
    <t>Prashant Solanki</t>
  </si>
  <si>
    <t>1,20,00,000</t>
  </si>
  <si>
    <t>Rachin Ravindra</t>
  </si>
  <si>
    <t>50,00,000 (Base Price)</t>
  </si>
  <si>
    <t>1,80,00,000</t>
  </si>
  <si>
    <t>Shardul Thakur</t>
  </si>
  <si>
    <t>2,00,00,000 (Base Price)</t>
  </si>
  <si>
    <t>Daryl Mitchell</t>
  </si>
  <si>
    <t>1,00,00,000 (Base Price)</t>
  </si>
  <si>
    <t>Sameer Rizvi</t>
  </si>
  <si>
    <t>20,00,000 (Base Price)</t>
  </si>
  <si>
    <t>8,40,00,000</t>
  </si>
  <si>
    <t>Mustafizur Rahman</t>
  </si>
  <si>
    <t>2,00,00,000</t>
  </si>
  <si>
    <t>Bangladesh</t>
  </si>
  <si>
    <t>Avanish Rao Aravelly</t>
  </si>
  <si>
    <t>DC</t>
  </si>
  <si>
    <t>Pravin Dubey</t>
  </si>
  <si>
    <t>6,25,00,000</t>
  </si>
  <si>
    <t>Australia</t>
  </si>
  <si>
    <t>Vicky Ostwal</t>
  </si>
  <si>
    <t>Prithvi Shaw</t>
  </si>
  <si>
    <t>7,50,00,000</t>
  </si>
  <si>
    <t>6,50,00,000</t>
  </si>
  <si>
    <t>South Africa</t>
  </si>
  <si>
    <t>Abishek Porel</t>
  </si>
  <si>
    <t>Axar Patel</t>
  </si>
  <si>
    <t>9,00,00,000</t>
  </si>
  <si>
    <t>Lalit Yadav</t>
  </si>
  <si>
    <t>65,00,000</t>
  </si>
  <si>
    <t>Khaleel Ahmed</t>
  </si>
  <si>
    <t>5,25,00,000</t>
  </si>
  <si>
    <t>Mitchell Marsh</t>
  </si>
  <si>
    <t>Ishant Sharma</t>
  </si>
  <si>
    <t>Yash Dhull</t>
  </si>
  <si>
    <t>Mukesh Kumar</t>
  </si>
  <si>
    <t>5,50,00,000</t>
  </si>
  <si>
    <t>Harry Brook</t>
  </si>
  <si>
    <t>Tristan Stubbs</t>
  </si>
  <si>
    <t>Ricky Bhui</t>
  </si>
  <si>
    <t>Kumar Kushagra</t>
  </si>
  <si>
    <t>7,20,00,000</t>
  </si>
  <si>
    <t>Rasikh Dar</t>
  </si>
  <si>
    <t>Jhye Richardson</t>
  </si>
  <si>
    <t>1,50,00,000 (Base Price)</t>
  </si>
  <si>
    <t>5,00,00,000</t>
  </si>
  <si>
    <t>Sumit Kumar</t>
  </si>
  <si>
    <t>Shai Hope</t>
  </si>
  <si>
    <t>75,00,000 (Base Price)</t>
  </si>
  <si>
    <t>75,00,000</t>
  </si>
  <si>
    <t>West Indies</t>
  </si>
  <si>
    <t>Swastik Chhikara</t>
  </si>
  <si>
    <t>Jake Fraser-McGurk</t>
  </si>
  <si>
    <t>N/A</t>
  </si>
  <si>
    <t>Replacement</t>
  </si>
  <si>
    <t>Gulbadin Naib</t>
  </si>
  <si>
    <t>Afghanistan</t>
  </si>
  <si>
    <t>Retained</t>
  </si>
  <si>
    <t>GT</t>
  </si>
  <si>
    <t>David Miller</t>
  </si>
  <si>
    <t>3,00,00,000</t>
  </si>
  <si>
    <t>Matthew Wade</t>
  </si>
  <si>
    <t>2,40,00,000</t>
  </si>
  <si>
    <t>Wriddhiman Saha</t>
  </si>
  <si>
    <t>Abhinav Manohar</t>
  </si>
  <si>
    <t>2,60,00,000</t>
  </si>
  <si>
    <t>B. Sai Sudharsan</t>
  </si>
  <si>
    <t>Darshan Nalkande</t>
  </si>
  <si>
    <t>Vijay Shankar</t>
  </si>
  <si>
    <t>1,40,00,000</t>
  </si>
  <si>
    <t>Jayant Yadav</t>
  </si>
  <si>
    <t>1,70,00,000</t>
  </si>
  <si>
    <t>Noor Ahmad</t>
  </si>
  <si>
    <t>30,00,000</t>
  </si>
  <si>
    <t>R Sai Kishore</t>
  </si>
  <si>
    <t>15,00,00,000</t>
  </si>
  <si>
    <t>Joshua Little</t>
  </si>
  <si>
    <t>4,40,00,000</t>
  </si>
  <si>
    <t>Ireland</t>
  </si>
  <si>
    <t>Mohit Sharma</t>
  </si>
  <si>
    <t>Azmatullah Omarzai</t>
  </si>
  <si>
    <t>Umesh Yadav</t>
  </si>
  <si>
    <t>5,80,00,000</t>
  </si>
  <si>
    <t>Shahrukh Khan</t>
  </si>
  <si>
    <t>40,00,000 (Base Price)</t>
  </si>
  <si>
    <t>7,40,00,000</t>
  </si>
  <si>
    <t>Sushant Mishra</t>
  </si>
  <si>
    <t>2,20,00,000</t>
  </si>
  <si>
    <t>Kartik Tyagi</t>
  </si>
  <si>
    <t>60,00,000</t>
  </si>
  <si>
    <t>Manav Suthar</t>
  </si>
  <si>
    <t>Spencer Johnson</t>
  </si>
  <si>
    <t>10,00,00,000</t>
  </si>
  <si>
    <t>Robin Minz</t>
  </si>
  <si>
    <t>3,60,00,000</t>
  </si>
  <si>
    <t>Shreyas Iyer</t>
  </si>
  <si>
    <t>12,25,00,000</t>
  </si>
  <si>
    <t>KKR</t>
  </si>
  <si>
    <t>Rinku Singh</t>
  </si>
  <si>
    <t>55,00,000</t>
  </si>
  <si>
    <t>Rahmanullah Gurbaz</t>
  </si>
  <si>
    <t>Suyash Sharma</t>
  </si>
  <si>
    <t>Anukul Roy</t>
  </si>
  <si>
    <t>Harshit Rana</t>
  </si>
  <si>
    <t>Vaibhav Arora</t>
  </si>
  <si>
    <t>Varun Chakaravarthy</t>
  </si>
  <si>
    <t>KS Bharat</t>
  </si>
  <si>
    <t>Chetan Sakariya</t>
  </si>
  <si>
    <t>Mitchell Starc</t>
  </si>
  <si>
    <t>24,75,00,000</t>
  </si>
  <si>
    <t>Angkrish Raghuvanshi</t>
  </si>
  <si>
    <t>Ramandeep Singh</t>
  </si>
  <si>
    <t>Sherfane Rutherford</t>
  </si>
  <si>
    <t>Mujeeb Ur Rahman</t>
  </si>
  <si>
    <t>Gus Atkinson</t>
  </si>
  <si>
    <t>Sakib Hussain</t>
  </si>
  <si>
    <t>17,00,00,000</t>
  </si>
  <si>
    <t>LSG</t>
  </si>
  <si>
    <t>Quinton de Kock</t>
  </si>
  <si>
    <t>6,75,00,000</t>
  </si>
  <si>
    <t>Ayush Badoni</t>
  </si>
  <si>
    <t>Kyle Mayers</t>
  </si>
  <si>
    <t>9,20,00,000</t>
  </si>
  <si>
    <t>Deepak Hooda</t>
  </si>
  <si>
    <t>5,75,00,000</t>
  </si>
  <si>
    <t>Ravi Bishnoi</t>
  </si>
  <si>
    <t>Naveen-ul-Haq</t>
  </si>
  <si>
    <t>8,25,00,000</t>
  </si>
  <si>
    <t>Yudhvir Singh</t>
  </si>
  <si>
    <t>Prerak Mankad</t>
  </si>
  <si>
    <t>Yash Thakur</t>
  </si>
  <si>
    <t>45,00,000</t>
  </si>
  <si>
    <t>Amit Mishra</t>
  </si>
  <si>
    <t>Mayank Yadav</t>
  </si>
  <si>
    <t>Mohsin Khan</t>
  </si>
  <si>
    <t>K. Gowtham</t>
  </si>
  <si>
    <t>90,00,000</t>
  </si>
  <si>
    <t>90,00,00,000</t>
  </si>
  <si>
    <t>Arshin Kulkarni</t>
  </si>
  <si>
    <t>M. Siddharth</t>
  </si>
  <si>
    <t>Shivam Mavi</t>
  </si>
  <si>
    <t>6,40,00,000</t>
  </si>
  <si>
    <t>Ashton Turner</t>
  </si>
  <si>
    <t>Mohd. Arshad Khan</t>
  </si>
  <si>
    <t>David Willey</t>
  </si>
  <si>
    <t>Devdutt Padikkal</t>
  </si>
  <si>
    <t>7,75,00,000 (Previous Team Salary)</t>
  </si>
  <si>
    <t>7,75,00,000</t>
  </si>
  <si>
    <t>Traded In</t>
  </si>
  <si>
    <t>15,00,00,000 (Previous Team Salary)</t>
  </si>
  <si>
    <t>MI</t>
  </si>
  <si>
    <t>Dewald Brevis</t>
  </si>
  <si>
    <t>Suryakumar Yadav</t>
  </si>
  <si>
    <t>Ishan Kishan</t>
  </si>
  <si>
    <t>15,25,00,000</t>
  </si>
  <si>
    <t>Tim David</t>
  </si>
  <si>
    <t>Shams Mulani</t>
  </si>
  <si>
    <t>Nehal Wadhera</t>
  </si>
  <si>
    <t>Kumar Kartikeya</t>
  </si>
  <si>
    <t>Piyush Chawla</t>
  </si>
  <si>
    <t>Jason Behrendorff</t>
  </si>
  <si>
    <t>Romario Shepherd</t>
  </si>
  <si>
    <t>50,00,000 (Previous Team Salary)</t>
  </si>
  <si>
    <t>Gerald Coetzee</t>
  </si>
  <si>
    <t>Nuwan Thushara</t>
  </si>
  <si>
    <t>4,80,00,000</t>
  </si>
  <si>
    <t>Dilshan Madushanka</t>
  </si>
  <si>
    <t>4,60,00,000</t>
  </si>
  <si>
    <t>Mohammad Nabi</t>
  </si>
  <si>
    <t>Shreyas Gopal</t>
  </si>
  <si>
    <t>Shivalik Sharma</t>
  </si>
  <si>
    <t>Anshul Kamboj</t>
  </si>
  <si>
    <t>Naman Dhir</t>
  </si>
  <si>
    <t>Injured/Released (N/A for 2024)</t>
  </si>
  <si>
    <t>PBKS</t>
  </si>
  <si>
    <t>Matthew Short</t>
  </si>
  <si>
    <t>Prabhsimran Singh</t>
  </si>
  <si>
    <t>Jitesh Sharma</t>
  </si>
  <si>
    <t>Sikandar Raza</t>
  </si>
  <si>
    <t>Zimbabwe</t>
  </si>
  <si>
    <t>Rishi Dhawan</t>
  </si>
  <si>
    <t>Liam Livingstone</t>
  </si>
  <si>
    <t>11,50,00,000</t>
  </si>
  <si>
    <t>Atharva Taide</t>
  </si>
  <si>
    <t>Nathan Ellis</t>
  </si>
  <si>
    <t>9,25,00,000</t>
  </si>
  <si>
    <t>Rahul Chahar</t>
  </si>
  <si>
    <t>Harpreet Brar</t>
  </si>
  <si>
    <t>3,80,00,000</t>
  </si>
  <si>
    <t>Vidwath Kaverappa</t>
  </si>
  <si>
    <t>Harshal Patel</t>
  </si>
  <si>
    <t>11,75,00,000</t>
  </si>
  <si>
    <t>Chris Woakes</t>
  </si>
  <si>
    <t>4,20,00,000</t>
  </si>
  <si>
    <t>Tanay Thyagarajann</t>
  </si>
  <si>
    <t>Vishwanath Pratap Singh</t>
  </si>
  <si>
    <t>Ashutosh Sharma</t>
  </si>
  <si>
    <t>Shashank Singh</t>
  </si>
  <si>
    <t>Prince Choudhary</t>
  </si>
  <si>
    <t>18,50,00,000</t>
  </si>
  <si>
    <t>RR</t>
  </si>
  <si>
    <t>8,50,00,000</t>
  </si>
  <si>
    <t>Yashasvi Jaiswal</t>
  </si>
  <si>
    <t>Dhruv Jurel</t>
  </si>
  <si>
    <t>Riyan Parag</t>
  </si>
  <si>
    <t>Donovan Ferreira</t>
  </si>
  <si>
    <t>Kunal Rathore</t>
  </si>
  <si>
    <t>Ravichandran Ashwin</t>
  </si>
  <si>
    <t>Adam Zampa</t>
  </si>
  <si>
    <t>Prasidh Krishna</t>
  </si>
  <si>
    <t>Navdeep Saini</t>
  </si>
  <si>
    <t>Sandeep Sharma</t>
  </si>
  <si>
    <t>Trent Boult</t>
  </si>
  <si>
    <t>Avesh Khan</t>
  </si>
  <si>
    <t>10,00,00,000 (Previous Team Salary)</t>
  </si>
  <si>
    <t>Rovman Powell</t>
  </si>
  <si>
    <t>Shubham Dubey</t>
  </si>
  <si>
    <t>Nandre Burger</t>
  </si>
  <si>
    <t>Tom Kohler-Cadmore</t>
  </si>
  <si>
    <t>40,00,000</t>
  </si>
  <si>
    <t>Abid Mushtaq</t>
  </si>
  <si>
    <t>RCB</t>
  </si>
  <si>
    <t>11,00,00,000</t>
  </si>
  <si>
    <t>Mohammed Siraj</t>
  </si>
  <si>
    <t>7,00,00,000</t>
  </si>
  <si>
    <t>Faf Du Plessis</t>
  </si>
  <si>
    <t>Anuj Rawat</t>
  </si>
  <si>
    <t>3,40,00,000</t>
  </si>
  <si>
    <t>Suyash Prabhudessai</t>
  </si>
  <si>
    <t>Will Jacks</t>
  </si>
  <si>
    <t>3,20,00,000</t>
  </si>
  <si>
    <t>Akash Deep</t>
  </si>
  <si>
    <t>Karan Sharma</t>
  </si>
  <si>
    <t>Mahipal Lomror</t>
  </si>
  <si>
    <t>95,00,000</t>
  </si>
  <si>
    <t>Reece Topley</t>
  </si>
  <si>
    <t>Rajan Kumar</t>
  </si>
  <si>
    <t>70,00,000</t>
  </si>
  <si>
    <t>Himanshu Sharma</t>
  </si>
  <si>
    <t>Manoj Bhandage</t>
  </si>
  <si>
    <t>17,50,00,000 (Previous Team Salary)</t>
  </si>
  <si>
    <t>17,50,00,000</t>
  </si>
  <si>
    <t>Yash Dayal</t>
  </si>
  <si>
    <t>Tom Curran</t>
  </si>
  <si>
    <t>Swapnil Singh</t>
  </si>
  <si>
    <t>Saurav Chauhan</t>
  </si>
  <si>
    <t>Mayank Dagar</t>
  </si>
  <si>
    <t>1,80,00,000 (Previous Team Salary)</t>
  </si>
  <si>
    <t>Shahbaz Ahmed</t>
  </si>
  <si>
    <t>2,40,00,000 (Previous Team Salary)</t>
  </si>
  <si>
    <t>Traded Out</t>
  </si>
  <si>
    <t>SRH</t>
  </si>
  <si>
    <t>Aiden Markram</t>
  </si>
  <si>
    <t>Abhishek Sharma</t>
  </si>
  <si>
    <t>Abdul Samad</t>
  </si>
  <si>
    <t>Marco Jansen</t>
  </si>
  <si>
    <t>8,75,00,000</t>
  </si>
  <si>
    <t>Umran Malik</t>
  </si>
  <si>
    <t>T. Natarajan</t>
  </si>
  <si>
    <t>Fazalhaq Farooqi</t>
  </si>
  <si>
    <t>Travis Head</t>
  </si>
  <si>
    <t>6,80,00,000</t>
  </si>
  <si>
    <t>Wanindu Hasaranga</t>
  </si>
  <si>
    <t>20,50,00,000</t>
  </si>
  <si>
    <t>Jaydev Unadkat</t>
  </si>
  <si>
    <t>1,60,00,000</t>
  </si>
  <si>
    <t>Akash Singh</t>
  </si>
  <si>
    <t>Jhathavedh Subramanyan</t>
  </si>
  <si>
    <t>Unsold/Withdrew</t>
  </si>
  <si>
    <t>Joe Root</t>
  </si>
  <si>
    <t>Steve Smith</t>
  </si>
  <si>
    <t>Adil Rashid</t>
  </si>
  <si>
    <t>Tabraiz Shamsi</t>
  </si>
  <si>
    <t>Chris Jordan</t>
  </si>
  <si>
    <t>Mohammad Amir</t>
  </si>
  <si>
    <t>Pakistan (Not Eligible)</t>
  </si>
  <si>
    <t>Kusal Mendis</t>
  </si>
  <si>
    <t>Josh Inglis</t>
  </si>
  <si>
    <t>Michael Bracewell</t>
  </si>
  <si>
    <t>Chris Lynn</t>
  </si>
  <si>
    <t>Marnus Labuschagne</t>
  </si>
  <si>
    <t>Dasun Shanaka</t>
  </si>
  <si>
    <t>Karun Nair</t>
  </si>
  <si>
    <t>Shubham Khajuria</t>
  </si>
  <si>
    <t>Himmat Singh</t>
  </si>
  <si>
    <t>Baba Indrajith</t>
  </si>
  <si>
    <t>Rohan Kunnummal</t>
  </si>
  <si>
    <t>Ashok Sharma</t>
  </si>
  <si>
    <t>Shubhang Hegde</t>
  </si>
  <si>
    <t>Priyam Garg</t>
  </si>
  <si>
    <t>Rahul Gahlaut</t>
  </si>
  <si>
    <t>Saurabh Kumar</t>
  </si>
  <si>
    <t>Vivek Singh</t>
  </si>
  <si>
    <t>Akash Vasisht</t>
  </si>
  <si>
    <t>Shubham Sharma</t>
  </si>
  <si>
    <t>Prashant Chopra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</si>
</sst>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9">
    <font>
      <sz val="10.0"/>
      <color rgb="FF000000"/>
      <name val="Arial"/>
      <scheme val="minor"/>
    </font>
    <font>
      <b/>
      <sz val="11.0"/>
      <color theme="1"/>
      <name val="Oswald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Oswald"/>
    </font>
    <font>
      <color rgb="FF000000"/>
      <name val="Arial"/>
      <scheme val="minor"/>
    </font>
    <font>
      <i/>
      <color theme="1"/>
      <name val="Verdana"/>
    </font>
    <font>
      <b/>
      <sz val="11.0"/>
      <color rgb="FFFFFFFF"/>
      <name val="Oswald"/>
    </font>
    <font>
      <b/>
      <sz val="19.0"/>
      <color rgb="FFFF0000"/>
      <name val="Comic Sans MS"/>
    </font>
    <font>
      <b/>
      <sz val="11.0"/>
      <color rgb="FFFFFFFF"/>
      <name val="Comic Sans MS"/>
    </font>
    <font>
      <color rgb="FFFFFFFF"/>
      <name val="Arial"/>
    </font>
    <font>
      <b/>
      <sz val="11.0"/>
      <color rgb="FF00FF00"/>
      <name val="Arial"/>
    </font>
    <font>
      <b/>
      <sz val="11.0"/>
      <color rgb="FF00FF00"/>
      <name val="Arial"/>
      <scheme val="minor"/>
    </font>
    <font>
      <color theme="1"/>
      <name val="Arial"/>
    </font>
    <font>
      <b/>
      <sz val="12.0"/>
      <color theme="1"/>
      <name val="Oswald"/>
    </font>
    <font>
      <b/>
      <sz val="12.0"/>
      <color rgb="FFFF0000"/>
      <name val="Arial"/>
      <scheme val="minor"/>
    </font>
    <font>
      <b/>
      <sz val="11.0"/>
      <color rgb="FF0000FF"/>
      <name val="Arial"/>
      <scheme val="minor"/>
    </font>
    <font>
      <b/>
      <sz val="11.0"/>
      <color rgb="FFFF0000"/>
      <name val="Comic Sans MS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0" fillId="3" fontId="3" numFmtId="0" xfId="0" applyFill="1" applyFont="1"/>
    <xf borderId="0" fillId="4" fontId="4" numFmtId="0" xfId="0" applyAlignment="1" applyFill="1" applyFont="1">
      <alignment horizontal="left" readingOrder="0"/>
    </xf>
    <xf borderId="0" fillId="4" fontId="4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6" fontId="1" numFmtId="0" xfId="0" applyAlignment="1" applyFill="1" applyFont="1">
      <alignment horizontal="left" readingOrder="0"/>
    </xf>
    <xf borderId="0" fillId="6" fontId="1" numFmtId="0" xfId="0" applyAlignment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0" fillId="7" fontId="5" numFmtId="0" xfId="0" applyFill="1" applyFont="1"/>
    <xf borderId="0" fillId="0" fontId="5" numFmtId="0" xfId="0" applyFont="1"/>
    <xf borderId="0" fillId="2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Font="1"/>
    <xf borderId="0" fillId="4" fontId="3" numFmtId="0" xfId="0" applyAlignment="1" applyFont="1">
      <alignment readingOrder="0"/>
    </xf>
    <xf borderId="0" fillId="4" fontId="3" numFmtId="164" xfId="0" applyAlignment="1" applyFont="1" applyNumberFormat="1">
      <alignment readingOrder="0"/>
    </xf>
    <xf borderId="0" fillId="4" fontId="3" numFmtId="0" xfId="0" applyFont="1"/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3" numFmtId="0" xfId="0" applyFont="1"/>
    <xf borderId="0" fillId="6" fontId="3" numFmtId="0" xfId="0" applyAlignment="1" applyFont="1">
      <alignment readingOrder="0"/>
    </xf>
    <xf borderId="0" fillId="6" fontId="3" numFmtId="164" xfId="0" applyAlignment="1" applyFont="1" applyNumberFormat="1">
      <alignment readingOrder="0"/>
    </xf>
    <xf borderId="0" fillId="6" fontId="5" numFmtId="0" xfId="0" applyAlignment="1" applyFont="1">
      <alignment readingOrder="0"/>
    </xf>
    <xf borderId="0" fillId="2" fontId="3" numFmtId="164" xfId="0" applyFont="1" applyNumberFormat="1"/>
    <xf borderId="0" fillId="4" fontId="3" numFmtId="164" xfId="0" applyFont="1" applyNumberFormat="1"/>
    <xf borderId="0" fillId="5" fontId="3" numFmtId="164" xfId="0" applyFont="1" applyNumberFormat="1"/>
    <xf borderId="0" fillId="6" fontId="3" numFmtId="0" xfId="0" applyFont="1"/>
    <xf borderId="0" fillId="6" fontId="3" numFmtId="164" xfId="0" applyFont="1" applyNumberFormat="1"/>
    <xf borderId="0" fillId="8" fontId="3" numFmtId="0" xfId="0" applyFill="1" applyFont="1"/>
    <xf borderId="0" fillId="3" fontId="7" numFmtId="49" xfId="0" applyAlignment="1" applyFont="1" applyNumberFormat="1">
      <alignment horizontal="center" readingOrder="0"/>
    </xf>
    <xf borderId="0" fillId="2" fontId="8" numFmtId="0" xfId="0" applyAlignment="1" applyFont="1">
      <alignment readingOrder="0" textRotation="0"/>
    </xf>
    <xf borderId="0" fillId="2" fontId="8" numFmtId="0" xfId="0" applyAlignment="1" applyFont="1">
      <alignment readingOrder="0"/>
    </xf>
    <xf borderId="0" fillId="9" fontId="9" numFmtId="0" xfId="0" applyAlignment="1" applyFill="1" applyFont="1">
      <alignment readingOrder="0" vertical="bottom"/>
    </xf>
    <xf borderId="0" fillId="9" fontId="10" numFmtId="0" xfId="0" applyAlignment="1" applyFont="1">
      <alignment vertical="bottom"/>
    </xf>
    <xf borderId="0" fillId="9" fontId="3" numFmtId="0" xfId="0" applyFont="1"/>
    <xf borderId="0" fillId="10" fontId="9" numFmtId="0" xfId="0" applyAlignment="1" applyFill="1" applyFont="1">
      <alignment readingOrder="0" vertical="bottom"/>
    </xf>
    <xf borderId="0" fillId="10" fontId="10" numFmtId="0" xfId="0" applyAlignment="1" applyFont="1">
      <alignment vertical="bottom"/>
    </xf>
    <xf borderId="0" fillId="10" fontId="11" numFmtId="0" xfId="0" applyAlignment="1" applyFont="1">
      <alignment vertical="bottom"/>
    </xf>
    <xf borderId="0" fillId="10" fontId="12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9" fontId="13" numFmtId="0" xfId="0" applyAlignment="1" applyFont="1">
      <alignment vertical="bottom"/>
    </xf>
    <xf borderId="0" fillId="11" fontId="14" numFmtId="0" xfId="0" applyAlignment="1" applyFill="1" applyFont="1">
      <alignment readingOrder="0"/>
    </xf>
    <xf borderId="0" fillId="11" fontId="3" numFmtId="0" xfId="0" applyFont="1"/>
    <xf borderId="0" fillId="2" fontId="14" numFmtId="0" xfId="0" applyAlignment="1" applyFont="1">
      <alignment readingOrder="0"/>
    </xf>
    <xf borderId="0" fillId="11" fontId="15" numFmtId="0" xfId="0" applyFont="1"/>
    <xf borderId="0" fillId="12" fontId="1" numFmtId="0" xfId="0" applyAlignment="1" applyFill="1" applyFont="1">
      <alignment readingOrder="0"/>
    </xf>
    <xf borderId="0" fillId="12" fontId="3" numFmtId="0" xfId="0" applyFont="1"/>
    <xf borderId="0" fillId="12" fontId="16" numFmtId="0" xfId="0" applyAlignment="1" applyFont="1">
      <alignment readingOrder="0"/>
    </xf>
    <xf borderId="0" fillId="12" fontId="3" numFmtId="0" xfId="0" applyAlignment="1" applyFont="1">
      <alignment readingOrder="0"/>
    </xf>
    <xf borderId="0" fillId="2" fontId="14" numFmtId="0" xfId="0" applyFont="1"/>
    <xf borderId="0" fillId="11" fontId="16" numFmtId="164" xfId="0" applyFont="1" applyNumberFormat="1"/>
    <xf borderId="0" fillId="12" fontId="16" numFmtId="164" xfId="0" applyAlignment="1" applyFont="1" applyNumberFormat="1">
      <alignment readingOrder="0"/>
    </xf>
    <xf borderId="0" fillId="12" fontId="3" numFmtId="0" xfId="0" applyAlignment="1" applyFont="1">
      <alignment readingOrder="0"/>
    </xf>
    <xf borderId="0" fillId="10" fontId="11" numFmtId="164" xfId="0" applyAlignment="1" applyFont="1" applyNumberFormat="1">
      <alignment readingOrder="0" vertical="bottom"/>
    </xf>
    <xf borderId="0" fillId="11" fontId="17" numFmtId="0" xfId="0" applyAlignment="1" applyFont="1">
      <alignment readingOrder="0"/>
    </xf>
    <xf borderId="0" fillId="0" fontId="18" numFmtId="0" xfId="0" applyAlignment="1" applyFont="1">
      <alignment horizontal="center" readingOrder="0"/>
    </xf>
    <xf borderId="0" fillId="0" fontId="18" numFmtId="164" xfId="0" applyAlignment="1" applyFont="1" applyNumberFormat="1">
      <alignment horizontal="center" readingOrder="0"/>
    </xf>
    <xf borderId="0" fillId="4" fontId="1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25</xdr:row>
      <xdr:rowOff>171450</xdr:rowOff>
    </xdr:from>
    <xdr:ext cx="1752600" cy="704850"/>
    <xdr:grpSp>
      <xdr:nvGrpSpPr>
        <xdr:cNvPr id="2" name="Shape 2" title="Drawing"/>
        <xdr:cNvGrpSpPr/>
      </xdr:nvGrpSpPr>
      <xdr:grpSpPr>
        <a:xfrm>
          <a:off x="2121100" y="1139425"/>
          <a:ext cx="2249640" cy="899856"/>
          <a:chOff x="2121100" y="1139425"/>
          <a:chExt cx="2249640" cy="899856"/>
        </a:xfrm>
      </xdr:grpSpPr>
      <xdr:sp>
        <xdr:nvSpPr>
          <xdr:cNvPr id="3" name="Shape 3"/>
          <xdr:cNvSpPr/>
        </xdr:nvSpPr>
        <xdr:spPr>
          <a:xfrm>
            <a:off x="2121100" y="1139425"/>
            <a:ext cx="2249640" cy="899856"/>
          </a:xfrm>
          <a:prstGeom prst="flowChartTerminator">
            <a:avLst/>
          </a:prstGeom>
          <a:solidFill>
            <a:srgbClr val="3D85C6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356275" y="1292825"/>
            <a:ext cx="1851000" cy="60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2700">
                <a:solidFill>
                  <a:srgbClr val="FFFFFF"/>
                </a:solidFill>
                <a:latin typeface="Comic Sans MS"/>
                <a:ea typeface="Comic Sans MS"/>
                <a:cs typeface="Comic Sans MS"/>
                <a:sym typeface="Comic Sans MS"/>
              </a:rPr>
              <a:t>   </a:t>
            </a:r>
            <a:r>
              <a:rPr b="1" i="1" lang="en-US" sz="2700">
                <a:solidFill>
                  <a:srgbClr val="FFFFFF"/>
                </a:solidFill>
                <a:latin typeface="Montserrat"/>
                <a:ea typeface="Montserrat"/>
                <a:cs typeface="Montserrat"/>
                <a:sym typeface="Montserrat"/>
              </a:rPr>
              <a:t>SOLD</a:t>
            </a:r>
            <a:endParaRPr b="1" i="1" sz="27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endParaRPr>
          </a:p>
        </xdr:txBody>
      </xdr:sp>
    </xdr:grpSp>
    <xdr:clientData fLocksWithSheet="0"/>
  </xdr:oneCellAnchor>
  <xdr:oneCellAnchor>
    <xdr:from>
      <xdr:col>2</xdr:col>
      <xdr:colOff>238125</xdr:colOff>
      <xdr:row>16</xdr:row>
      <xdr:rowOff>123825</xdr:rowOff>
    </xdr:from>
    <xdr:ext cx="638175" cy="523875"/>
    <xdr:grpSp>
      <xdr:nvGrpSpPr>
        <xdr:cNvPr id="2" name="Shape 2" title="Drawing"/>
        <xdr:cNvGrpSpPr/>
      </xdr:nvGrpSpPr>
      <xdr:grpSpPr>
        <a:xfrm>
          <a:off x="152400" y="152400"/>
          <a:ext cx="4838701" cy="4838701"/>
          <a:chOff x="152400" y="152400"/>
          <a:chExt cx="4838701" cy="4838701"/>
        </a:xfrm>
      </xdr:grpSpPr>
      <xdr:pic>
        <xdr:nvPicPr>
          <xdr:cNvPr id="5" name="Shape 5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838701" cy="48387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6</xdr:col>
      <xdr:colOff>304800</xdr:colOff>
      <xdr:row>16</xdr:row>
      <xdr:rowOff>123825</xdr:rowOff>
    </xdr:from>
    <xdr:ext cx="552450" cy="523875"/>
    <xdr:grpSp>
      <xdr:nvGrpSpPr>
        <xdr:cNvPr id="2" name="Shape 2" title="Drawing"/>
        <xdr:cNvGrpSpPr/>
      </xdr:nvGrpSpPr>
      <xdr:grpSpPr>
        <a:xfrm>
          <a:off x="152400" y="152400"/>
          <a:ext cx="4838701" cy="4838701"/>
          <a:chOff x="152400" y="152400"/>
          <a:chExt cx="4838701" cy="4838701"/>
        </a:xfrm>
      </xdr:grpSpPr>
      <xdr:pic>
        <xdr:nvPicPr>
          <xdr:cNvPr id="6" name="Shape 6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838701" cy="48387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10</xdr:col>
      <xdr:colOff>333375</xdr:colOff>
      <xdr:row>16</xdr:row>
      <xdr:rowOff>123825</xdr:rowOff>
    </xdr:from>
    <xdr:ext cx="552450" cy="523875"/>
    <xdr:grpSp>
      <xdr:nvGrpSpPr>
        <xdr:cNvPr id="2" name="Shape 2" title="Drawing"/>
        <xdr:cNvGrpSpPr/>
      </xdr:nvGrpSpPr>
      <xdr:grpSpPr>
        <a:xfrm>
          <a:off x="152400" y="152400"/>
          <a:ext cx="4838701" cy="4838701"/>
          <a:chOff x="152400" y="152400"/>
          <a:chExt cx="4838701" cy="4838701"/>
        </a:xfrm>
      </xdr:grpSpPr>
      <xdr:pic>
        <xdr:nvPicPr>
          <xdr:cNvPr id="7" name="Shape 7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838701" cy="48387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14</xdr:col>
      <xdr:colOff>304800</xdr:colOff>
      <xdr:row>16</xdr:row>
      <xdr:rowOff>123825</xdr:rowOff>
    </xdr:from>
    <xdr:ext cx="552450" cy="523875"/>
    <xdr:grpSp>
      <xdr:nvGrpSpPr>
        <xdr:cNvPr id="2" name="Shape 2" title="Drawing"/>
        <xdr:cNvGrpSpPr/>
      </xdr:nvGrpSpPr>
      <xdr:grpSpPr>
        <a:xfrm>
          <a:off x="152400" y="152400"/>
          <a:ext cx="4838701" cy="4838701"/>
          <a:chOff x="152400" y="152400"/>
          <a:chExt cx="4838701" cy="4838701"/>
        </a:xfrm>
      </xdr:grpSpPr>
      <xdr:pic>
        <xdr:nvPicPr>
          <xdr:cNvPr id="8" name="Shape 8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838701" cy="4838701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0</xdr:colOff>
      <xdr:row>16</xdr:row>
      <xdr:rowOff>200025</xdr:rowOff>
    </xdr:from>
    <xdr:ext cx="3105150" cy="619125"/>
    <xdr:grpSp>
      <xdr:nvGrpSpPr>
        <xdr:cNvPr id="2" name="Shape 2" title="Drawing"/>
        <xdr:cNvGrpSpPr/>
      </xdr:nvGrpSpPr>
      <xdr:grpSpPr>
        <a:xfrm>
          <a:off x="152400" y="152400"/>
          <a:ext cx="5419725" cy="714375"/>
          <a:chOff x="152400" y="152400"/>
          <a:chExt cx="5419725" cy="714375"/>
        </a:xfrm>
      </xdr:grpSpPr>
      <xdr:pic>
        <xdr:nvPicPr>
          <xdr:cNvPr id="9" name="Shape 9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54197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161925</xdr:colOff>
      <xdr:row>16</xdr:row>
      <xdr:rowOff>200025</xdr:rowOff>
    </xdr:from>
    <xdr:ext cx="3038475" cy="619125"/>
    <xdr:grpSp>
      <xdr:nvGrpSpPr>
        <xdr:cNvPr id="2" name="Shape 2" title="Drawing"/>
        <xdr:cNvGrpSpPr/>
      </xdr:nvGrpSpPr>
      <xdr:grpSpPr>
        <a:xfrm>
          <a:off x="152400" y="152400"/>
          <a:ext cx="5419725" cy="714375"/>
          <a:chOff x="152400" y="152400"/>
          <a:chExt cx="5419725" cy="714375"/>
        </a:xfrm>
      </xdr:grpSpPr>
      <xdr:pic>
        <xdr:nvPicPr>
          <xdr:cNvPr id="10" name="Shape 10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54197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7</xdr:col>
      <xdr:colOff>161925</xdr:colOff>
      <xdr:row>16</xdr:row>
      <xdr:rowOff>200025</xdr:rowOff>
    </xdr:from>
    <xdr:ext cx="3038475" cy="619125"/>
    <xdr:grpSp>
      <xdr:nvGrpSpPr>
        <xdr:cNvPr id="2" name="Shape 2" title="Drawing"/>
        <xdr:cNvGrpSpPr/>
      </xdr:nvGrpSpPr>
      <xdr:grpSpPr>
        <a:xfrm>
          <a:off x="152400" y="152400"/>
          <a:ext cx="5419725" cy="714375"/>
          <a:chOff x="152400" y="152400"/>
          <a:chExt cx="5419725" cy="714375"/>
        </a:xfrm>
      </xdr:grpSpPr>
      <xdr:pic>
        <xdr:nvPicPr>
          <xdr:cNvPr id="11" name="Shape 11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54197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11</xdr:col>
      <xdr:colOff>133350</xdr:colOff>
      <xdr:row>16</xdr:row>
      <xdr:rowOff>200025</xdr:rowOff>
    </xdr:from>
    <xdr:ext cx="3038475" cy="619125"/>
    <xdr:grpSp>
      <xdr:nvGrpSpPr>
        <xdr:cNvPr id="2" name="Shape 2" title="Drawing"/>
        <xdr:cNvGrpSpPr/>
      </xdr:nvGrpSpPr>
      <xdr:grpSpPr>
        <a:xfrm>
          <a:off x="152400" y="152400"/>
          <a:ext cx="5419725" cy="714375"/>
          <a:chOff x="152400" y="152400"/>
          <a:chExt cx="5419725" cy="714375"/>
        </a:xfrm>
      </xdr:grpSpPr>
      <xdr:pic>
        <xdr:nvPicPr>
          <xdr:cNvPr id="12" name="Shape 12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5419725" cy="7143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4</xdr:col>
      <xdr:colOff>828675</xdr:colOff>
      <xdr:row>29</xdr:row>
      <xdr:rowOff>219075</xdr:rowOff>
    </xdr:from>
    <xdr:ext cx="1514475" cy="571500"/>
    <xdr:grpSp>
      <xdr:nvGrpSpPr>
        <xdr:cNvPr id="2" name="Shape 2" title="Drawing"/>
        <xdr:cNvGrpSpPr/>
      </xdr:nvGrpSpPr>
      <xdr:grpSpPr>
        <a:xfrm>
          <a:off x="2274900" y="782200"/>
          <a:ext cx="1154100" cy="547800"/>
          <a:chOff x="2274900" y="782200"/>
          <a:chExt cx="1154100" cy="547800"/>
        </a:xfrm>
      </xdr:grpSpPr>
      <xdr:sp>
        <xdr:nvSpPr>
          <xdr:cNvPr id="13" name="Shape 13"/>
          <xdr:cNvSpPr/>
        </xdr:nvSpPr>
        <xdr:spPr>
          <a:xfrm>
            <a:off x="2274900" y="782200"/>
            <a:ext cx="1154100" cy="547800"/>
          </a:xfrm>
          <a:prstGeom prst="roundRect">
            <a:avLst>
              <a:gd fmla="val 16667" name="adj"/>
            </a:avLst>
          </a:prstGeom>
          <a:solidFill>
            <a:srgbClr val="3D85C6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381550" y="832900"/>
            <a:ext cx="940800" cy="446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700">
                <a:solidFill>
                  <a:srgbClr val="FFFFFF"/>
                </a:solidFill>
                <a:latin typeface="Oswald"/>
                <a:ea typeface="Oswald"/>
                <a:cs typeface="Oswald"/>
                <a:sym typeface="Oswald"/>
              </a:rPr>
              <a:t>UNSOLD</a:t>
            </a:r>
            <a:endParaRPr b="1" sz="1700">
              <a:solidFill>
                <a:srgbClr val="FFFFFF"/>
              </a:solidFill>
              <a:latin typeface="Oswald"/>
              <a:ea typeface="Oswald"/>
              <a:cs typeface="Oswald"/>
              <a:sym typeface="Oswald"/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B7E1CD"/>
      </a:accent3>
      <a:accent4>
        <a:srgbClr val="34A853"/>
      </a:accent4>
      <a:accent5>
        <a:srgbClr val="FF6D01"/>
      </a:accent5>
      <a:accent6>
        <a:srgbClr val="46BDC6"/>
      </a:accent6>
      <a:hlink>
        <a:srgbClr val="A4C2F4"/>
      </a:hlink>
      <a:folHlink>
        <a:srgbClr val="A4C2F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2.13"/>
    <col customWidth="1" min="7" max="7" width="14.75"/>
    <col customWidth="1" min="8" max="8" width="2.13"/>
    <col customWidth="1" min="11" max="11" width="14.5"/>
    <col customWidth="1" min="12" max="12" width="2.13"/>
    <col customWidth="1" min="13" max="13" width="13.25"/>
    <col customWidth="1" min="15" max="15" width="13.88"/>
    <col customWidth="1" min="16" max="16" width="2.13"/>
  </cols>
  <sheetData>
    <row r="1">
      <c r="A1" s="1" t="s">
        <v>0</v>
      </c>
      <c r="B1" s="2"/>
      <c r="C1" s="3">
        <f> (100000000 - SUM(B4:B15))</f>
        <v>73100000</v>
      </c>
      <c r="D1" s="4"/>
      <c r="E1" s="5" t="s">
        <v>1</v>
      </c>
      <c r="F1" s="6"/>
      <c r="G1" s="7">
        <f> (100000000 - SUM(F4:F15))</f>
        <v>58500000</v>
      </c>
      <c r="H1" s="4"/>
      <c r="I1" s="8" t="s">
        <v>2</v>
      </c>
      <c r="J1" s="9"/>
      <c r="K1" s="10">
        <f> (100000000 - SUM(J4:J15))</f>
        <v>47400000</v>
      </c>
      <c r="L1" s="4"/>
      <c r="M1" s="11" t="s">
        <v>3</v>
      </c>
      <c r="N1" s="12"/>
      <c r="O1" s="13">
        <f> (100000000 - SUM(N4:N15))</f>
        <v>59100000</v>
      </c>
      <c r="P1" s="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4</v>
      </c>
      <c r="B3" s="16" t="s">
        <v>5</v>
      </c>
      <c r="C3" s="16" t="s">
        <v>6</v>
      </c>
      <c r="D3" s="4"/>
      <c r="E3" s="17" t="s">
        <v>4</v>
      </c>
      <c r="F3" s="17" t="s">
        <v>5</v>
      </c>
      <c r="G3" s="17" t="s">
        <v>6</v>
      </c>
      <c r="H3" s="4"/>
      <c r="I3" s="18" t="s">
        <v>4</v>
      </c>
      <c r="J3" s="18" t="s">
        <v>5</v>
      </c>
      <c r="K3" s="18" t="s">
        <v>6</v>
      </c>
      <c r="L3" s="4"/>
      <c r="M3" s="19" t="s">
        <v>4</v>
      </c>
      <c r="N3" s="19" t="s">
        <v>5</v>
      </c>
      <c r="O3" s="19" t="s">
        <v>6</v>
      </c>
      <c r="P3" s="4"/>
    </row>
    <row r="4">
      <c r="A4" s="20" t="s">
        <v>7</v>
      </c>
      <c r="B4" s="21">
        <v>1.04E7</v>
      </c>
      <c r="C4" s="22" t="str">
        <f>IFNA(VLOOKUP(A4,'Player List'!A2:F70,4,FALSE),)</f>
        <v>Overseas</v>
      </c>
      <c r="D4" s="4"/>
      <c r="E4" s="23" t="s">
        <v>8</v>
      </c>
      <c r="F4" s="24">
        <v>2.01E7</v>
      </c>
      <c r="G4" s="25" t="str">
        <f>IFNA(VLOOKUP(E4,'Player List'!A12:F80,4,FALSE),)</f>
        <v>Overseas</v>
      </c>
      <c r="H4" s="4"/>
      <c r="I4" s="26" t="s">
        <v>9</v>
      </c>
      <c r="J4" s="27">
        <v>2.13E7</v>
      </c>
      <c r="K4" s="28" t="str">
        <f>IFNA(VLOOKUP(I4,'Player List'!A2:F70,4,FALSE),)</f>
        <v>Overseas</v>
      </c>
      <c r="L4" s="4"/>
      <c r="M4" s="29" t="s">
        <v>10</v>
      </c>
      <c r="N4" s="30">
        <v>1.53E7</v>
      </c>
      <c r="O4" s="31" t="str">
        <f>IFNA(VLOOKUP(M4,'Player List'!A15:F83,4,FALSE),)</f>
        <v>Indian</v>
      </c>
      <c r="P4" s="4"/>
    </row>
    <row r="5">
      <c r="A5" s="20" t="s">
        <v>11</v>
      </c>
      <c r="B5" s="21">
        <v>6100000.0</v>
      </c>
      <c r="C5" s="22" t="str">
        <f>IFNA(VLOOKUP(A5,'Player List'!A3:F71,4,FALSE),)</f>
        <v>Indian</v>
      </c>
      <c r="D5" s="4"/>
      <c r="E5" s="23" t="s">
        <v>12</v>
      </c>
      <c r="F5" s="24">
        <v>1.11E7</v>
      </c>
      <c r="G5" s="25" t="str">
        <f>IFNA(VLOOKUP(E5,'Player List'!A13:F81,4,FALSE),)</f>
        <v>Indian</v>
      </c>
      <c r="H5" s="4"/>
      <c r="I5" s="26" t="s">
        <v>13</v>
      </c>
      <c r="J5" s="27">
        <v>2.02E7</v>
      </c>
      <c r="K5" s="28" t="str">
        <f>IFNA(VLOOKUP(I5,'Player List'!A3:F71,4,FALSE),)</f>
        <v>Overseas</v>
      </c>
      <c r="L5" s="4"/>
      <c r="M5" s="29" t="s">
        <v>14</v>
      </c>
      <c r="N5" s="30">
        <v>1.02E7</v>
      </c>
      <c r="O5" s="31" t="str">
        <f>IFNA(VLOOKUP(M5,'Player List'!A16:F84,4,FALSE),)</f>
        <v>Indian</v>
      </c>
      <c r="P5" s="4"/>
    </row>
    <row r="6">
      <c r="A6" s="20" t="s">
        <v>15</v>
      </c>
      <c r="B6" s="21">
        <v>1.04E7</v>
      </c>
      <c r="C6" s="22" t="str">
        <f>IFNA(VLOOKUP(A6,'Player List'!A4:F72,4,FALSE),)</f>
        <v>Indian</v>
      </c>
      <c r="D6" s="4"/>
      <c r="E6" s="23" t="s">
        <v>16</v>
      </c>
      <c r="F6" s="24">
        <v>1.03E7</v>
      </c>
      <c r="G6" s="25" t="str">
        <f>IFNA(VLOOKUP(E6,'Player List'!A14:F82,4,FALSE),)</f>
        <v>Indian</v>
      </c>
      <c r="H6" s="4"/>
      <c r="I6" s="26" t="s">
        <v>17</v>
      </c>
      <c r="J6" s="27">
        <v>1.11E7</v>
      </c>
      <c r="K6" s="28" t="str">
        <f>IFNA(VLOOKUP(I6,'Player List'!A4:F72,4,FALSE),)</f>
        <v>Indian</v>
      </c>
      <c r="L6" s="4"/>
      <c r="M6" s="29" t="s">
        <v>18</v>
      </c>
      <c r="N6" s="30">
        <v>1.54E7</v>
      </c>
      <c r="O6" s="31" t="str">
        <f>IFNA(VLOOKUP(M6,'Player List'!A17:F85,4,FALSE),)</f>
        <v>Overseas</v>
      </c>
      <c r="P6" s="4"/>
    </row>
    <row r="7">
      <c r="A7" s="22"/>
      <c r="B7" s="32"/>
      <c r="C7" s="22" t="str">
        <f>IFNA(VLOOKUP(A7,'Player List'!A5:F73,4,FALSE),)</f>
        <v/>
      </c>
      <c r="D7" s="4"/>
      <c r="E7" s="25"/>
      <c r="F7" s="33"/>
      <c r="G7" s="25" t="str">
        <f>IFNA(VLOOKUP(E7,'Player List'!A15:F83,4,FALSE),)</f>
        <v/>
      </c>
      <c r="H7" s="4"/>
      <c r="I7" s="28"/>
      <c r="J7" s="34"/>
      <c r="K7" s="28" t="str">
        <f>IFNA(VLOOKUP(I7,'Player List'!A5:F73,4,FALSE),)</f>
        <v/>
      </c>
      <c r="L7" s="4"/>
      <c r="M7" s="35"/>
      <c r="N7" s="36"/>
      <c r="O7" s="31" t="str">
        <f>IFNA(VLOOKUP(M7,'Player List'!A18:F86,4,FALSE),)</f>
        <v/>
      </c>
      <c r="P7" s="4"/>
    </row>
    <row r="8">
      <c r="A8" s="22"/>
      <c r="B8" s="32"/>
      <c r="C8" s="22" t="str">
        <f>IFNA(VLOOKUP(A8,'Player List'!A6:F74,4,FALSE),)</f>
        <v/>
      </c>
      <c r="D8" s="4"/>
      <c r="E8" s="25"/>
      <c r="F8" s="33"/>
      <c r="G8" s="25" t="str">
        <f>IFNA(VLOOKUP(E8,'Player List'!A16:F84,4,FALSE),)</f>
        <v/>
      </c>
      <c r="H8" s="4"/>
      <c r="I8" s="28"/>
      <c r="J8" s="34"/>
      <c r="K8" s="28" t="str">
        <f>IFNA(VLOOKUP(I8,'Player List'!A6:F74,4,FALSE),)</f>
        <v/>
      </c>
      <c r="L8" s="4"/>
      <c r="M8" s="35"/>
      <c r="N8" s="36"/>
      <c r="O8" s="31" t="str">
        <f>IFNA(VLOOKUP(M8,'Player List'!A19:F87,4,FALSE),)</f>
        <v/>
      </c>
      <c r="P8" s="4"/>
    </row>
    <row r="9">
      <c r="A9" s="22"/>
      <c r="B9" s="32"/>
      <c r="C9" s="22" t="str">
        <f>IFNA(VLOOKUP(A9,'Player List'!A7:F75,4,FALSE),)</f>
        <v/>
      </c>
      <c r="D9" s="4"/>
      <c r="E9" s="25"/>
      <c r="F9" s="33"/>
      <c r="G9" s="25" t="str">
        <f>IFNA(VLOOKUP(E9,'Player List'!A17:F85,4,FALSE),)</f>
        <v/>
      </c>
      <c r="H9" s="4"/>
      <c r="I9" s="28"/>
      <c r="J9" s="34"/>
      <c r="K9" s="28" t="str">
        <f>IFNA(VLOOKUP(I9,'Player List'!A7:F75,4,FALSE),)</f>
        <v/>
      </c>
      <c r="L9" s="4"/>
      <c r="M9" s="35"/>
      <c r="N9" s="36"/>
      <c r="O9" s="31" t="str">
        <f>IFNA(VLOOKUP(M9,'Player List'!A20:F88,4,FALSE),)</f>
        <v/>
      </c>
      <c r="P9" s="4"/>
    </row>
    <row r="10">
      <c r="A10" s="22"/>
      <c r="B10" s="32"/>
      <c r="C10" s="22" t="str">
        <f>IFNA(VLOOKUP(A10,'Player List'!A8:F76,4,FALSE),)</f>
        <v/>
      </c>
      <c r="D10" s="4"/>
      <c r="E10" s="25"/>
      <c r="F10" s="33"/>
      <c r="G10" s="25" t="str">
        <f>IFNA(VLOOKUP(E10,'Player List'!A18:F86,4,FALSE),)</f>
        <v/>
      </c>
      <c r="H10" s="4"/>
      <c r="I10" s="28"/>
      <c r="J10" s="34"/>
      <c r="K10" s="28" t="str">
        <f>IFNA(VLOOKUP(I10,'Player List'!A8:F76,4,FALSE),)</f>
        <v/>
      </c>
      <c r="L10" s="4"/>
      <c r="M10" s="35"/>
      <c r="N10" s="36"/>
      <c r="O10" s="31" t="str">
        <f>IFNA(VLOOKUP(M10,'Player List'!A21:F89,4,FALSE),)</f>
        <v/>
      </c>
      <c r="P10" s="4"/>
    </row>
    <row r="11">
      <c r="A11" s="22"/>
      <c r="B11" s="32"/>
      <c r="C11" s="22" t="str">
        <f>IFNA(VLOOKUP(A11,'Player List'!A9:F77,4,FALSE),)</f>
        <v/>
      </c>
      <c r="D11" s="4"/>
      <c r="E11" s="25"/>
      <c r="F11" s="33"/>
      <c r="G11" s="25" t="str">
        <f>IFNA(VLOOKUP(E11,'Player List'!A19:F87,4,FALSE),)</f>
        <v/>
      </c>
      <c r="H11" s="4"/>
      <c r="I11" s="28"/>
      <c r="J11" s="34"/>
      <c r="K11" s="28" t="str">
        <f>IFNA(VLOOKUP(I11,'Player List'!A9:F77,4,FALSE),)</f>
        <v/>
      </c>
      <c r="L11" s="4"/>
      <c r="M11" s="35"/>
      <c r="N11" s="36"/>
      <c r="O11" s="31" t="str">
        <f>IFNA(VLOOKUP(M11,'Player List'!A22:F90,4,FALSE),)</f>
        <v/>
      </c>
      <c r="P11" s="4"/>
    </row>
    <row r="12">
      <c r="A12" s="22"/>
      <c r="B12" s="32"/>
      <c r="C12" s="22" t="str">
        <f>IFNA(VLOOKUP(A12,'Player List'!A10:F78,4,FALSE),)</f>
        <v/>
      </c>
      <c r="D12" s="4"/>
      <c r="E12" s="25"/>
      <c r="F12" s="33"/>
      <c r="G12" s="25" t="str">
        <f>IFNA(VLOOKUP(E12,'Player List'!A20:F88,4,FALSE),)</f>
        <v/>
      </c>
      <c r="H12" s="4"/>
      <c r="I12" s="28"/>
      <c r="J12" s="34"/>
      <c r="K12" s="28" t="str">
        <f>IFNA(VLOOKUP(I12,'Player List'!A10:F78,4,FALSE),)</f>
        <v/>
      </c>
      <c r="L12" s="4"/>
      <c r="M12" s="35"/>
      <c r="N12" s="36"/>
      <c r="O12" s="31" t="str">
        <f>IFNA(VLOOKUP(M12,'Player List'!A23:F91,4,FALSE),)</f>
        <v/>
      </c>
      <c r="P12" s="4"/>
    </row>
    <row r="13">
      <c r="A13" s="22"/>
      <c r="B13" s="32"/>
      <c r="C13" s="22" t="str">
        <f>IFNA(VLOOKUP(A13,'Player List'!A11:F79,4,FALSE),)</f>
        <v/>
      </c>
      <c r="D13" s="4"/>
      <c r="E13" s="25"/>
      <c r="F13" s="33"/>
      <c r="G13" s="25" t="str">
        <f>IFNA(VLOOKUP(E13,'Player List'!A21:F89,4,FALSE),)</f>
        <v/>
      </c>
      <c r="H13" s="4"/>
      <c r="I13" s="28"/>
      <c r="J13" s="34"/>
      <c r="K13" s="28" t="str">
        <f>IFNA(VLOOKUP(I13,'Player List'!A11:F79,4,FALSE),)</f>
        <v/>
      </c>
      <c r="L13" s="4"/>
      <c r="M13" s="35"/>
      <c r="N13" s="36"/>
      <c r="O13" s="31" t="str">
        <f>IFNA(VLOOKUP(M13,'Player List'!A24:F92,4,FALSE),)</f>
        <v/>
      </c>
      <c r="P13" s="4"/>
    </row>
    <row r="14">
      <c r="A14" s="22"/>
      <c r="B14" s="32"/>
      <c r="C14" s="22" t="str">
        <f>IFNA(VLOOKUP(A14,'Player List'!A12:F80,4,FALSE),)</f>
        <v/>
      </c>
      <c r="D14" s="4"/>
      <c r="E14" s="25"/>
      <c r="F14" s="33"/>
      <c r="G14" s="25" t="str">
        <f>IFNA(VLOOKUP(E14,'Player List'!A22:F90,4,FALSE),)</f>
        <v/>
      </c>
      <c r="H14" s="4"/>
      <c r="I14" s="28"/>
      <c r="J14" s="34"/>
      <c r="K14" s="28" t="str">
        <f>IFNA(VLOOKUP(I14,'Player List'!A12:F80,4,FALSE),)</f>
        <v/>
      </c>
      <c r="L14" s="4"/>
      <c r="M14" s="35"/>
      <c r="N14" s="36"/>
      <c r="O14" s="31" t="str">
        <f>IFNA(VLOOKUP(M14,'Player List'!A25:F93,4,FALSE),)</f>
        <v/>
      </c>
      <c r="P14" s="4"/>
    </row>
    <row r="15">
      <c r="A15" s="22"/>
      <c r="B15" s="32"/>
      <c r="C15" s="22" t="str">
        <f>IFNA(VLOOKUP(A15,'Player List'!A13:F81,4,FALSE),)</f>
        <v/>
      </c>
      <c r="D15" s="4"/>
      <c r="E15" s="25"/>
      <c r="F15" s="33"/>
      <c r="G15" s="25" t="str">
        <f>IFNA(VLOOKUP(E15,'Player List'!A23:F91,4,FALSE),)</f>
        <v/>
      </c>
      <c r="H15" s="4"/>
      <c r="I15" s="28"/>
      <c r="J15" s="34"/>
      <c r="K15" s="28" t="str">
        <f>IFNA(VLOOKUP(I15,'Player List'!A13:F81,4,FALSE),)</f>
        <v/>
      </c>
      <c r="L15" s="4"/>
      <c r="M15" s="35"/>
      <c r="N15" s="36"/>
      <c r="O15" s="31" t="str">
        <f>IFNA(VLOOKUP(M15,'Player List'!A26:F94,4,FALSE),)</f>
        <v/>
      </c>
      <c r="P15" s="4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</row>
    <row r="17">
      <c r="A17" s="38" t="s">
        <v>19</v>
      </c>
      <c r="D17" s="4"/>
      <c r="E17" s="38" t="s">
        <v>19</v>
      </c>
      <c r="H17" s="4"/>
      <c r="I17" s="38" t="s">
        <v>19</v>
      </c>
      <c r="L17" s="4"/>
      <c r="M17" s="38" t="s">
        <v>19</v>
      </c>
      <c r="P17" s="4"/>
    </row>
    <row r="18">
      <c r="A18" s="39" t="s">
        <v>20</v>
      </c>
      <c r="D18" s="4"/>
      <c r="E18" s="40" t="s">
        <v>20</v>
      </c>
      <c r="H18" s="4"/>
      <c r="I18" s="40" t="s">
        <v>20</v>
      </c>
      <c r="L18" s="4"/>
      <c r="M18" s="40" t="s">
        <v>20</v>
      </c>
      <c r="P18" s="4"/>
    </row>
    <row r="19">
      <c r="D19" s="4"/>
      <c r="H19" s="4"/>
      <c r="L19" s="4"/>
      <c r="P19" s="4"/>
    </row>
    <row r="20">
      <c r="A20" s="41"/>
      <c r="B20" s="42"/>
      <c r="C20" s="42"/>
      <c r="D20" s="4"/>
      <c r="E20" s="41"/>
      <c r="F20" s="42"/>
      <c r="G20" s="42"/>
      <c r="H20" s="4"/>
      <c r="I20" s="41"/>
      <c r="J20" s="42"/>
      <c r="K20" s="42"/>
      <c r="L20" s="4"/>
      <c r="M20" s="41"/>
      <c r="N20" s="42"/>
      <c r="O20" s="42"/>
      <c r="P20" s="4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 t="s">
        <v>21</v>
      </c>
      <c r="B21" s="45"/>
      <c r="C21" s="46">
        <f>COUNTIF(C4:C15,"Indian")</f>
        <v>2</v>
      </c>
      <c r="D21" s="4"/>
      <c r="E21" s="44" t="s">
        <v>21</v>
      </c>
      <c r="F21" s="45"/>
      <c r="G21" s="47">
        <f>COUNTIF(G4:G15,"Indian")</f>
        <v>2</v>
      </c>
      <c r="H21" s="4"/>
      <c r="I21" s="44" t="s">
        <v>21</v>
      </c>
      <c r="J21" s="45"/>
      <c r="K21" s="46">
        <f>COUNTIF(K4:K15,"Indian")</f>
        <v>1</v>
      </c>
      <c r="L21" s="4"/>
      <c r="M21" s="44" t="s">
        <v>21</v>
      </c>
      <c r="N21" s="45"/>
      <c r="O21" s="46">
        <f>COUNTIF(O4:O15,"Indian")</f>
        <v>2</v>
      </c>
      <c r="P21" s="4"/>
    </row>
    <row r="22">
      <c r="A22" s="44" t="s">
        <v>22</v>
      </c>
      <c r="B22" s="45"/>
      <c r="C22" s="46">
        <f>COUNTIF(C4:C15, "Overseas")
</f>
        <v>1</v>
      </c>
      <c r="D22" s="4"/>
      <c r="E22" s="44" t="s">
        <v>22</v>
      </c>
      <c r="F22" s="45"/>
      <c r="G22" s="47">
        <f>COUNTIF(G4:G15, "Overseas")
</f>
        <v>1</v>
      </c>
      <c r="H22" s="4"/>
      <c r="I22" s="44" t="s">
        <v>22</v>
      </c>
      <c r="J22" s="45"/>
      <c r="K22" s="46">
        <f>COUNTIF(K4:K15, "Overseas")
</f>
        <v>2</v>
      </c>
      <c r="L22" s="4"/>
      <c r="M22" s="44" t="s">
        <v>22</v>
      </c>
      <c r="N22" s="45"/>
      <c r="O22" s="46">
        <f>COUNTIF(O4:O15, "Overseas")
</f>
        <v>1</v>
      </c>
      <c r="P22" s="4"/>
    </row>
    <row r="23">
      <c r="A23" s="44" t="s">
        <v>23</v>
      </c>
      <c r="B23" s="45"/>
      <c r="C23" s="46">
        <f>SUM(C21:C22)</f>
        <v>3</v>
      </c>
      <c r="D23" s="4"/>
      <c r="E23" s="44" t="s">
        <v>23</v>
      </c>
      <c r="F23" s="45"/>
      <c r="G23" s="47">
        <f>SUM(G21:G22)</f>
        <v>3</v>
      </c>
      <c r="H23" s="4"/>
      <c r="I23" s="44" t="s">
        <v>23</v>
      </c>
      <c r="J23" s="45"/>
      <c r="K23" s="46">
        <f>SUM(K21:K22)</f>
        <v>3</v>
      </c>
      <c r="L23" s="4"/>
      <c r="M23" s="44" t="s">
        <v>23</v>
      </c>
      <c r="N23" s="45"/>
      <c r="O23" s="46">
        <f>SUM(O21:O22)</f>
        <v>3</v>
      </c>
      <c r="P23" s="4"/>
    </row>
    <row r="24">
      <c r="A24" s="48"/>
      <c r="B24" s="48"/>
      <c r="C24" s="4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9"/>
      <c r="B25" s="49"/>
      <c r="C25" s="49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50" t="s">
        <v>24</v>
      </c>
      <c r="B26" s="51"/>
      <c r="C26" s="46" t="str">
        <f>'Player List'!J1</f>
        <v>Mayank Agarwal</v>
      </c>
      <c r="D26" s="46"/>
      <c r="E26" s="51"/>
      <c r="F26" s="51"/>
      <c r="G26" s="51"/>
      <c r="H26" s="4"/>
      <c r="I26" s="52" t="s">
        <v>25</v>
      </c>
      <c r="J26" s="53">
        <f>COUNTIF('Player List'!E2:E70 , "Unsold")</f>
        <v>57</v>
      </c>
      <c r="K26" s="54" t="s">
        <v>26</v>
      </c>
      <c r="L26" s="55"/>
      <c r="M26" s="56" t="s">
        <v>16</v>
      </c>
      <c r="N26" s="57"/>
      <c r="O26" s="57"/>
    </row>
    <row r="27">
      <c r="A27" s="51"/>
      <c r="B27" s="51"/>
      <c r="C27" s="46"/>
      <c r="D27" s="46"/>
      <c r="E27" s="51"/>
      <c r="F27" s="51"/>
      <c r="G27" s="51"/>
      <c r="H27" s="4"/>
      <c r="I27" s="58"/>
      <c r="J27" s="53"/>
      <c r="K27" s="54" t="s">
        <v>27</v>
      </c>
      <c r="L27" s="55"/>
      <c r="M27" s="56" t="s">
        <v>1</v>
      </c>
      <c r="N27" s="57"/>
      <c r="O27" s="57"/>
    </row>
    <row r="28">
      <c r="A28" s="50" t="s">
        <v>28</v>
      </c>
      <c r="B28" s="51"/>
      <c r="C28" s="59">
        <f>IFERROR(VLOOKUP(C26, 'Player List'!A:B, 2, FALSE), "")
</f>
        <v>10000000</v>
      </c>
      <c r="D28" s="51"/>
      <c r="E28" s="51"/>
      <c r="F28" s="51"/>
      <c r="G28" s="51"/>
      <c r="H28" s="4"/>
      <c r="I28" s="58"/>
      <c r="J28" s="53"/>
      <c r="K28" s="54" t="s">
        <v>29</v>
      </c>
      <c r="L28" s="55"/>
      <c r="M28" s="60">
        <v>1.03E7</v>
      </c>
      <c r="N28" s="61"/>
      <c r="O28" s="61"/>
    </row>
    <row r="29">
      <c r="A29" s="50" t="s">
        <v>30</v>
      </c>
      <c r="B29" s="51"/>
      <c r="C29" s="62"/>
      <c r="D29" s="51"/>
      <c r="E29" s="51"/>
      <c r="F29" s="51"/>
      <c r="G29" s="51"/>
      <c r="H29" s="4"/>
      <c r="I29" s="52" t="s">
        <v>31</v>
      </c>
      <c r="J29" s="53">
        <f>COUNTIF('Player List'!E2:E70 , "Sold")</f>
        <v>12</v>
      </c>
    </row>
    <row r="30">
      <c r="A30" s="50" t="s">
        <v>27</v>
      </c>
      <c r="B30" s="51"/>
      <c r="C30" s="63"/>
      <c r="D30" s="51"/>
      <c r="E30" s="51"/>
      <c r="F30" s="51"/>
      <c r="G30" s="51"/>
      <c r="H30" s="4"/>
      <c r="I30" s="58"/>
      <c r="J30" s="51"/>
    </row>
    <row r="31">
      <c r="E31" s="51"/>
      <c r="F31" s="51"/>
      <c r="G31" s="51"/>
    </row>
    <row r="32">
      <c r="E32" s="51"/>
      <c r="F32" s="51"/>
      <c r="G32" s="51"/>
    </row>
    <row r="33">
      <c r="E33" s="51"/>
      <c r="F33" s="51"/>
      <c r="G33" s="51"/>
    </row>
  </sheetData>
  <mergeCells count="8">
    <mergeCell ref="A17:C17"/>
    <mergeCell ref="E17:G17"/>
    <mergeCell ref="I17:K17"/>
    <mergeCell ref="M17:O17"/>
    <mergeCell ref="A18:C19"/>
    <mergeCell ref="E18:G19"/>
    <mergeCell ref="I18:K19"/>
    <mergeCell ref="M18:O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3" width="15.0"/>
    <col customWidth="1" min="4" max="4" width="17.0"/>
    <col customWidth="1" min="9" max="9" width="19.0"/>
    <col customWidth="1" min="10" max="10" width="18.0"/>
  </cols>
  <sheetData>
    <row r="1">
      <c r="A1" s="64" t="s">
        <v>32</v>
      </c>
      <c r="B1" s="65" t="s">
        <v>33</v>
      </c>
      <c r="C1" s="64" t="s">
        <v>34</v>
      </c>
      <c r="D1" s="64" t="s">
        <v>6</v>
      </c>
      <c r="E1" s="64" t="s">
        <v>35</v>
      </c>
      <c r="F1" s="64" t="s">
        <v>36</v>
      </c>
      <c r="I1" s="66" t="s">
        <v>37</v>
      </c>
      <c r="J1" s="67" t="s">
        <v>38</v>
      </c>
    </row>
    <row r="2">
      <c r="A2" s="67" t="s">
        <v>39</v>
      </c>
      <c r="B2" s="68">
        <v>2.0E7</v>
      </c>
      <c r="C2" s="67"/>
      <c r="D2" s="67" t="s">
        <v>40</v>
      </c>
      <c r="E2" s="67" t="s">
        <v>41</v>
      </c>
    </row>
    <row r="3">
      <c r="A3" s="67" t="s">
        <v>42</v>
      </c>
      <c r="B3" s="68">
        <v>2.0E7</v>
      </c>
      <c r="C3" s="67"/>
      <c r="D3" s="67" t="s">
        <v>40</v>
      </c>
      <c r="E3" s="67" t="s">
        <v>41</v>
      </c>
    </row>
    <row r="4">
      <c r="A4" s="67" t="s">
        <v>43</v>
      </c>
      <c r="B4" s="68">
        <v>2.0E7</v>
      </c>
      <c r="C4" s="67"/>
      <c r="D4" s="67" t="s">
        <v>40</v>
      </c>
      <c r="E4" s="67" t="s">
        <v>41</v>
      </c>
    </row>
    <row r="5">
      <c r="A5" s="67" t="s">
        <v>44</v>
      </c>
      <c r="B5" s="68">
        <v>2.0E7</v>
      </c>
      <c r="C5" s="67"/>
      <c r="D5" s="67" t="s">
        <v>45</v>
      </c>
      <c r="E5" s="67" t="s">
        <v>41</v>
      </c>
    </row>
    <row r="6">
      <c r="A6" s="67" t="s">
        <v>46</v>
      </c>
      <c r="B6" s="68">
        <v>2.0E7</v>
      </c>
      <c r="C6" s="67"/>
      <c r="D6" s="67" t="s">
        <v>45</v>
      </c>
      <c r="E6" s="67" t="s">
        <v>41</v>
      </c>
    </row>
    <row r="7">
      <c r="A7" s="67" t="s">
        <v>47</v>
      </c>
      <c r="B7" s="68">
        <v>2.0E7</v>
      </c>
      <c r="C7" s="67"/>
      <c r="D7" s="67" t="s">
        <v>40</v>
      </c>
      <c r="E7" s="67" t="s">
        <v>41</v>
      </c>
    </row>
    <row r="8">
      <c r="A8" s="67" t="s">
        <v>48</v>
      </c>
      <c r="B8" s="68">
        <v>2.0E7</v>
      </c>
      <c r="C8" s="67"/>
      <c r="D8" s="67" t="s">
        <v>40</v>
      </c>
      <c r="E8" s="67" t="s">
        <v>41</v>
      </c>
    </row>
    <row r="9">
      <c r="A9" s="67" t="s">
        <v>49</v>
      </c>
      <c r="B9" s="68">
        <v>2.0E7</v>
      </c>
      <c r="C9" s="67"/>
      <c r="D9" s="67" t="s">
        <v>40</v>
      </c>
      <c r="E9" s="67" t="s">
        <v>41</v>
      </c>
    </row>
    <row r="10">
      <c r="A10" s="67" t="s">
        <v>13</v>
      </c>
      <c r="B10" s="68">
        <v>2.0E7</v>
      </c>
      <c r="C10" s="67">
        <v>2.02E7</v>
      </c>
      <c r="D10" s="67" t="s">
        <v>45</v>
      </c>
      <c r="E10" s="67" t="s">
        <v>50</v>
      </c>
      <c r="F10" s="67" t="s">
        <v>2</v>
      </c>
    </row>
    <row r="11">
      <c r="A11" s="67" t="s">
        <v>51</v>
      </c>
      <c r="B11" s="68">
        <v>2.0E7</v>
      </c>
      <c r="C11" s="67"/>
      <c r="D11" s="67" t="s">
        <v>45</v>
      </c>
      <c r="E11" s="67" t="s">
        <v>41</v>
      </c>
    </row>
    <row r="12">
      <c r="A12" s="67" t="s">
        <v>52</v>
      </c>
      <c r="B12" s="68">
        <v>2.0E7</v>
      </c>
      <c r="C12" s="67"/>
      <c r="D12" s="67" t="s">
        <v>45</v>
      </c>
      <c r="E12" s="67" t="s">
        <v>41</v>
      </c>
    </row>
    <row r="13">
      <c r="A13" s="67" t="s">
        <v>8</v>
      </c>
      <c r="B13" s="68">
        <v>2.0E7</v>
      </c>
      <c r="C13" s="67">
        <v>2.01E7</v>
      </c>
      <c r="D13" s="67" t="s">
        <v>45</v>
      </c>
      <c r="E13" s="67" t="s">
        <v>50</v>
      </c>
      <c r="F13" s="67" t="s">
        <v>1</v>
      </c>
    </row>
    <row r="14">
      <c r="A14" s="67" t="s">
        <v>53</v>
      </c>
      <c r="B14" s="68">
        <v>2.0E7</v>
      </c>
      <c r="C14" s="67"/>
      <c r="D14" s="67" t="s">
        <v>45</v>
      </c>
      <c r="E14" s="67" t="s">
        <v>41</v>
      </c>
    </row>
    <row r="15">
      <c r="A15" s="67" t="s">
        <v>54</v>
      </c>
      <c r="B15" s="68">
        <v>2.0E7</v>
      </c>
      <c r="C15" s="67"/>
      <c r="D15" s="67" t="s">
        <v>45</v>
      </c>
      <c r="E15" s="67" t="s">
        <v>41</v>
      </c>
    </row>
    <row r="16">
      <c r="A16" s="67" t="s">
        <v>55</v>
      </c>
      <c r="B16" s="68">
        <v>2.0E7</v>
      </c>
      <c r="C16" s="67"/>
      <c r="D16" s="67" t="s">
        <v>45</v>
      </c>
      <c r="E16" s="67" t="s">
        <v>41</v>
      </c>
    </row>
    <row r="17">
      <c r="A17" s="67" t="s">
        <v>56</v>
      </c>
      <c r="B17" s="68">
        <v>2.0E7</v>
      </c>
      <c r="C17" s="67"/>
      <c r="D17" s="67" t="s">
        <v>45</v>
      </c>
      <c r="E17" s="67" t="s">
        <v>41</v>
      </c>
    </row>
    <row r="18">
      <c r="A18" s="67" t="s">
        <v>9</v>
      </c>
      <c r="B18" s="68">
        <v>2.0E7</v>
      </c>
      <c r="C18" s="67">
        <v>2.13E7</v>
      </c>
      <c r="D18" s="67" t="s">
        <v>45</v>
      </c>
      <c r="E18" s="67" t="s">
        <v>50</v>
      </c>
      <c r="F18" s="67" t="s">
        <v>2</v>
      </c>
    </row>
    <row r="19">
      <c r="A19" s="67" t="s">
        <v>57</v>
      </c>
      <c r="B19" s="68">
        <v>1.5E7</v>
      </c>
      <c r="C19" s="67"/>
      <c r="D19" s="67" t="s">
        <v>40</v>
      </c>
      <c r="E19" s="67" t="s">
        <v>41</v>
      </c>
    </row>
    <row r="20">
      <c r="A20" s="67" t="s">
        <v>10</v>
      </c>
      <c r="B20" s="68">
        <v>1.5E7</v>
      </c>
      <c r="C20" s="67">
        <v>1.53E7</v>
      </c>
      <c r="D20" s="67" t="s">
        <v>40</v>
      </c>
      <c r="E20" s="67" t="s">
        <v>50</v>
      </c>
      <c r="F20" s="67" t="s">
        <v>3</v>
      </c>
    </row>
    <row r="21">
      <c r="A21" s="67" t="s">
        <v>58</v>
      </c>
      <c r="B21" s="68">
        <v>2.0E7</v>
      </c>
      <c r="C21" s="67"/>
      <c r="D21" s="67" t="s">
        <v>40</v>
      </c>
      <c r="E21" s="67" t="s">
        <v>41</v>
      </c>
    </row>
    <row r="22">
      <c r="A22" s="67" t="s">
        <v>59</v>
      </c>
      <c r="B22" s="68">
        <v>1.5E7</v>
      </c>
      <c r="C22" s="67"/>
      <c r="D22" s="67" t="s">
        <v>45</v>
      </c>
      <c r="E22" s="67" t="s">
        <v>41</v>
      </c>
    </row>
    <row r="23">
      <c r="A23" s="67" t="s">
        <v>60</v>
      </c>
      <c r="B23" s="68">
        <v>1.5E7</v>
      </c>
      <c r="C23" s="67"/>
      <c r="D23" s="67" t="s">
        <v>45</v>
      </c>
      <c r="E23" s="67" t="s">
        <v>41</v>
      </c>
    </row>
    <row r="24">
      <c r="A24" s="67" t="s">
        <v>61</v>
      </c>
      <c r="B24" s="68">
        <v>1.5E7</v>
      </c>
      <c r="C24" s="67"/>
      <c r="D24" s="67" t="s">
        <v>40</v>
      </c>
      <c r="E24" s="67" t="s">
        <v>41</v>
      </c>
    </row>
    <row r="25">
      <c r="A25" s="67" t="s">
        <v>62</v>
      </c>
      <c r="B25" s="68">
        <v>1.5E7</v>
      </c>
      <c r="C25" s="67"/>
      <c r="D25" s="67" t="s">
        <v>40</v>
      </c>
      <c r="E25" s="67" t="s">
        <v>41</v>
      </c>
    </row>
    <row r="26">
      <c r="A26" s="67" t="s">
        <v>63</v>
      </c>
      <c r="B26" s="68">
        <v>1.5E7</v>
      </c>
      <c r="C26" s="67"/>
      <c r="D26" s="67" t="s">
        <v>45</v>
      </c>
      <c r="E26" s="67" t="s">
        <v>41</v>
      </c>
    </row>
    <row r="27">
      <c r="A27" s="67" t="s">
        <v>64</v>
      </c>
      <c r="B27" s="68">
        <v>1.5E7</v>
      </c>
      <c r="C27" s="67"/>
      <c r="D27" s="67" t="s">
        <v>45</v>
      </c>
      <c r="E27" s="67" t="s">
        <v>41</v>
      </c>
    </row>
    <row r="28">
      <c r="A28" s="67" t="s">
        <v>65</v>
      </c>
      <c r="B28" s="68">
        <v>1.5E7</v>
      </c>
      <c r="C28" s="67"/>
      <c r="D28" s="67" t="s">
        <v>45</v>
      </c>
      <c r="E28" s="67" t="s">
        <v>41</v>
      </c>
    </row>
    <row r="29">
      <c r="A29" s="67" t="s">
        <v>66</v>
      </c>
      <c r="B29" s="68">
        <v>1.5E7</v>
      </c>
      <c r="C29" s="67"/>
      <c r="D29" s="67" t="s">
        <v>40</v>
      </c>
      <c r="E29" s="67" t="s">
        <v>41</v>
      </c>
    </row>
    <row r="30">
      <c r="A30" s="67" t="s">
        <v>67</v>
      </c>
      <c r="B30" s="68">
        <v>1.5E7</v>
      </c>
      <c r="C30" s="67"/>
      <c r="D30" s="67" t="s">
        <v>40</v>
      </c>
      <c r="E30" s="67" t="s">
        <v>41</v>
      </c>
    </row>
    <row r="31">
      <c r="A31" s="67" t="s">
        <v>68</v>
      </c>
      <c r="B31" s="68">
        <v>1.5E7</v>
      </c>
      <c r="C31" s="67"/>
      <c r="D31" s="67" t="s">
        <v>40</v>
      </c>
      <c r="E31" s="67" t="s">
        <v>41</v>
      </c>
    </row>
    <row r="32">
      <c r="A32" s="67" t="s">
        <v>69</v>
      </c>
      <c r="B32" s="68">
        <v>1.5E7</v>
      </c>
      <c r="C32" s="67"/>
      <c r="D32" s="67" t="s">
        <v>45</v>
      </c>
      <c r="E32" s="67" t="s">
        <v>41</v>
      </c>
    </row>
    <row r="33">
      <c r="A33" s="67" t="s">
        <v>70</v>
      </c>
      <c r="B33" s="68">
        <v>1.5E7</v>
      </c>
      <c r="C33" s="67"/>
      <c r="D33" s="67" t="s">
        <v>45</v>
      </c>
      <c r="E33" s="67" t="s">
        <v>41</v>
      </c>
    </row>
    <row r="34">
      <c r="A34" s="67" t="s">
        <v>71</v>
      </c>
      <c r="B34" s="68">
        <v>1.5E7</v>
      </c>
      <c r="C34" s="67"/>
      <c r="D34" s="67" t="s">
        <v>45</v>
      </c>
      <c r="E34" s="67" t="s">
        <v>41</v>
      </c>
    </row>
    <row r="35">
      <c r="A35" s="67" t="s">
        <v>72</v>
      </c>
      <c r="B35" s="68">
        <v>1.5E7</v>
      </c>
      <c r="C35" s="67"/>
      <c r="D35" s="67" t="s">
        <v>45</v>
      </c>
      <c r="E35" s="67" t="s">
        <v>41</v>
      </c>
    </row>
    <row r="36">
      <c r="A36" s="67" t="s">
        <v>18</v>
      </c>
      <c r="B36" s="68">
        <v>1.5E7</v>
      </c>
      <c r="C36" s="67">
        <v>1.54E7</v>
      </c>
      <c r="D36" s="67" t="s">
        <v>45</v>
      </c>
      <c r="E36" s="67" t="s">
        <v>50</v>
      </c>
      <c r="F36" s="67" t="s">
        <v>3</v>
      </c>
    </row>
    <row r="37">
      <c r="A37" s="67" t="s">
        <v>73</v>
      </c>
      <c r="B37" s="68">
        <v>1.0E7</v>
      </c>
      <c r="C37" s="67"/>
      <c r="D37" s="67" t="s">
        <v>40</v>
      </c>
      <c r="E37" s="67" t="s">
        <v>41</v>
      </c>
    </row>
    <row r="38">
      <c r="A38" s="67" t="s">
        <v>74</v>
      </c>
      <c r="B38" s="68">
        <v>1.0E7</v>
      </c>
      <c r="C38" s="67"/>
      <c r="D38" s="67" t="s">
        <v>40</v>
      </c>
      <c r="E38" s="67" t="s">
        <v>41</v>
      </c>
    </row>
    <row r="39">
      <c r="A39" s="67" t="s">
        <v>17</v>
      </c>
      <c r="B39" s="68">
        <v>1.0E7</v>
      </c>
      <c r="C39" s="67">
        <v>1.11E7</v>
      </c>
      <c r="D39" s="67" t="s">
        <v>40</v>
      </c>
      <c r="E39" s="67" t="s">
        <v>50</v>
      </c>
      <c r="F39" s="67" t="s">
        <v>2</v>
      </c>
    </row>
    <row r="40">
      <c r="A40" s="67" t="s">
        <v>75</v>
      </c>
      <c r="B40" s="68">
        <v>1.0E7</v>
      </c>
      <c r="C40" s="67"/>
      <c r="D40" s="67" t="s">
        <v>40</v>
      </c>
      <c r="E40" s="67" t="s">
        <v>41</v>
      </c>
    </row>
    <row r="41">
      <c r="A41" s="67" t="s">
        <v>38</v>
      </c>
      <c r="B41" s="68">
        <v>1.0E7</v>
      </c>
      <c r="D41" s="67" t="s">
        <v>40</v>
      </c>
      <c r="E41" s="67" t="s">
        <v>41</v>
      </c>
    </row>
    <row r="42">
      <c r="A42" s="67" t="s">
        <v>76</v>
      </c>
      <c r="B42" s="68">
        <v>1.0E7</v>
      </c>
      <c r="C42" s="67"/>
      <c r="D42" s="67" t="s">
        <v>40</v>
      </c>
      <c r="E42" s="67" t="s">
        <v>41</v>
      </c>
    </row>
    <row r="43">
      <c r="A43" s="67" t="s">
        <v>77</v>
      </c>
      <c r="B43" s="68">
        <v>1.0E7</v>
      </c>
      <c r="C43" s="67"/>
      <c r="D43" s="67" t="s">
        <v>45</v>
      </c>
      <c r="E43" s="67" t="s">
        <v>41</v>
      </c>
    </row>
    <row r="44">
      <c r="A44" s="67" t="s">
        <v>78</v>
      </c>
      <c r="B44" s="68">
        <v>1.0E7</v>
      </c>
      <c r="C44" s="67"/>
      <c r="D44" s="67" t="s">
        <v>40</v>
      </c>
      <c r="E44" s="67" t="s">
        <v>41</v>
      </c>
    </row>
    <row r="45">
      <c r="A45" s="67" t="s">
        <v>16</v>
      </c>
      <c r="B45" s="68">
        <v>1.0E7</v>
      </c>
      <c r="C45" s="67">
        <v>1.03E7</v>
      </c>
      <c r="D45" s="67" t="s">
        <v>40</v>
      </c>
      <c r="E45" s="67" t="s">
        <v>50</v>
      </c>
      <c r="F45" s="67" t="s">
        <v>1</v>
      </c>
    </row>
    <row r="46">
      <c r="A46" s="67" t="s">
        <v>79</v>
      </c>
      <c r="B46" s="68">
        <v>1.0E7</v>
      </c>
      <c r="C46" s="67"/>
      <c r="D46" s="67" t="s">
        <v>40</v>
      </c>
      <c r="E46" s="67" t="s">
        <v>41</v>
      </c>
    </row>
    <row r="47">
      <c r="A47" s="67" t="s">
        <v>80</v>
      </c>
      <c r="B47" s="68">
        <v>1.0E7</v>
      </c>
      <c r="C47" s="67"/>
      <c r="D47" s="67" t="s">
        <v>40</v>
      </c>
      <c r="E47" s="67" t="s">
        <v>41</v>
      </c>
    </row>
    <row r="48">
      <c r="A48" s="67" t="s">
        <v>81</v>
      </c>
      <c r="B48" s="68">
        <v>1.0E7</v>
      </c>
      <c r="C48" s="67"/>
      <c r="D48" s="67" t="s">
        <v>40</v>
      </c>
      <c r="E48" s="67" t="s">
        <v>41</v>
      </c>
    </row>
    <row r="49">
      <c r="A49" s="67" t="s">
        <v>82</v>
      </c>
      <c r="B49" s="68">
        <v>1.0E7</v>
      </c>
      <c r="C49" s="67"/>
      <c r="D49" s="67" t="s">
        <v>45</v>
      </c>
      <c r="E49" s="67" t="s">
        <v>41</v>
      </c>
    </row>
    <row r="50">
      <c r="A50" s="67" t="s">
        <v>7</v>
      </c>
      <c r="B50" s="68">
        <v>1.0E7</v>
      </c>
      <c r="C50" s="67">
        <v>1.04E7</v>
      </c>
      <c r="D50" s="67" t="s">
        <v>45</v>
      </c>
      <c r="E50" s="67" t="s">
        <v>50</v>
      </c>
      <c r="F50" s="67" t="s">
        <v>0</v>
      </c>
    </row>
    <row r="51">
      <c r="A51" s="67" t="s">
        <v>83</v>
      </c>
      <c r="B51" s="68">
        <v>1.0E7</v>
      </c>
      <c r="C51" s="67"/>
      <c r="D51" s="67" t="s">
        <v>45</v>
      </c>
      <c r="E51" s="67" t="s">
        <v>41</v>
      </c>
    </row>
    <row r="52">
      <c r="A52" s="67" t="s">
        <v>84</v>
      </c>
      <c r="B52" s="68">
        <v>1.0E7</v>
      </c>
      <c r="C52" s="67"/>
      <c r="D52" s="67" t="s">
        <v>45</v>
      </c>
      <c r="E52" s="67" t="s">
        <v>41</v>
      </c>
    </row>
    <row r="53">
      <c r="A53" s="67" t="s">
        <v>11</v>
      </c>
      <c r="B53" s="68">
        <v>5000000.0</v>
      </c>
      <c r="C53" s="67">
        <v>6100000.0</v>
      </c>
      <c r="D53" s="67" t="s">
        <v>40</v>
      </c>
      <c r="E53" s="67" t="s">
        <v>50</v>
      </c>
      <c r="F53" s="67" t="s">
        <v>0</v>
      </c>
    </row>
    <row r="54">
      <c r="A54" s="67" t="s">
        <v>85</v>
      </c>
      <c r="B54" s="68">
        <v>2000000.0</v>
      </c>
      <c r="C54" s="67"/>
      <c r="D54" s="67" t="s">
        <v>40</v>
      </c>
      <c r="E54" s="67" t="s">
        <v>41</v>
      </c>
    </row>
    <row r="55">
      <c r="A55" s="67" t="s">
        <v>86</v>
      </c>
      <c r="B55" s="68">
        <v>2000000.0</v>
      </c>
      <c r="C55" s="67"/>
      <c r="D55" s="67" t="s">
        <v>40</v>
      </c>
      <c r="E55" s="67" t="s">
        <v>41</v>
      </c>
    </row>
    <row r="56">
      <c r="A56" s="67" t="s">
        <v>87</v>
      </c>
      <c r="B56" s="68">
        <v>2000000.0</v>
      </c>
      <c r="C56" s="67"/>
      <c r="D56" s="67" t="s">
        <v>40</v>
      </c>
      <c r="E56" s="67" t="s">
        <v>41</v>
      </c>
    </row>
    <row r="57">
      <c r="A57" s="67" t="s">
        <v>88</v>
      </c>
      <c r="B57" s="68">
        <v>1.5E7</v>
      </c>
      <c r="C57" s="67"/>
      <c r="D57" s="67" t="s">
        <v>40</v>
      </c>
      <c r="E57" s="67" t="s">
        <v>41</v>
      </c>
    </row>
    <row r="58">
      <c r="A58" s="67" t="s">
        <v>89</v>
      </c>
      <c r="B58" s="68">
        <v>1.0E7</v>
      </c>
      <c r="C58" s="67"/>
      <c r="D58" s="67" t="s">
        <v>40</v>
      </c>
      <c r="E58" s="67" t="s">
        <v>41</v>
      </c>
    </row>
    <row r="59">
      <c r="A59" s="67" t="s">
        <v>15</v>
      </c>
      <c r="B59" s="68">
        <v>1.0E7</v>
      </c>
      <c r="C59" s="67">
        <v>1.04E7</v>
      </c>
      <c r="D59" s="67" t="s">
        <v>40</v>
      </c>
      <c r="E59" s="67" t="s">
        <v>50</v>
      </c>
      <c r="F59" s="67" t="s">
        <v>0</v>
      </c>
    </row>
    <row r="60">
      <c r="A60" s="67" t="s">
        <v>90</v>
      </c>
      <c r="B60" s="68">
        <v>1.0E7</v>
      </c>
      <c r="C60" s="67"/>
      <c r="D60" s="67" t="s">
        <v>40</v>
      </c>
      <c r="E60" s="67" t="s">
        <v>41</v>
      </c>
    </row>
    <row r="61">
      <c r="A61" s="67" t="s">
        <v>91</v>
      </c>
      <c r="B61" s="68">
        <v>1.0E7</v>
      </c>
      <c r="C61" s="67"/>
      <c r="D61" s="67" t="s">
        <v>40</v>
      </c>
      <c r="E61" s="67" t="s">
        <v>41</v>
      </c>
    </row>
    <row r="62">
      <c r="A62" s="67" t="s">
        <v>92</v>
      </c>
      <c r="B62" s="68">
        <v>1.5E7</v>
      </c>
      <c r="C62" s="67"/>
      <c r="D62" s="67" t="s">
        <v>45</v>
      </c>
      <c r="E62" s="67" t="s">
        <v>41</v>
      </c>
    </row>
    <row r="63">
      <c r="A63" s="67" t="s">
        <v>93</v>
      </c>
      <c r="B63" s="68">
        <v>1.0E7</v>
      </c>
      <c r="C63" s="67"/>
      <c r="D63" s="67" t="s">
        <v>45</v>
      </c>
      <c r="E63" s="67" t="s">
        <v>41</v>
      </c>
    </row>
    <row r="64">
      <c r="A64" s="67" t="s">
        <v>94</v>
      </c>
      <c r="B64" s="68">
        <v>1.5E7</v>
      </c>
      <c r="C64" s="67"/>
      <c r="D64" s="67" t="s">
        <v>45</v>
      </c>
      <c r="E64" s="67" t="s">
        <v>41</v>
      </c>
    </row>
    <row r="65">
      <c r="A65" s="67" t="s">
        <v>95</v>
      </c>
      <c r="B65" s="68">
        <v>1.0E7</v>
      </c>
      <c r="C65" s="67"/>
      <c r="D65" s="67" t="s">
        <v>40</v>
      </c>
      <c r="E65" s="67" t="s">
        <v>41</v>
      </c>
    </row>
    <row r="66">
      <c r="A66" s="67" t="s">
        <v>96</v>
      </c>
      <c r="B66" s="68">
        <v>1.0E7</v>
      </c>
      <c r="C66" s="67"/>
      <c r="D66" s="67" t="s">
        <v>40</v>
      </c>
      <c r="E66" s="67" t="s">
        <v>41</v>
      </c>
    </row>
    <row r="67">
      <c r="A67" s="67" t="s">
        <v>12</v>
      </c>
      <c r="B67" s="68">
        <v>1.0E7</v>
      </c>
      <c r="C67" s="67">
        <v>1.11E7</v>
      </c>
      <c r="D67" s="67" t="s">
        <v>40</v>
      </c>
      <c r="E67" s="67" t="s">
        <v>50</v>
      </c>
      <c r="F67" s="67" t="s">
        <v>1</v>
      </c>
    </row>
    <row r="68">
      <c r="A68" s="67" t="s">
        <v>97</v>
      </c>
      <c r="B68" s="68">
        <v>1.0E7</v>
      </c>
      <c r="C68" s="67"/>
      <c r="D68" s="67" t="s">
        <v>40</v>
      </c>
      <c r="E68" s="67" t="s">
        <v>41</v>
      </c>
    </row>
    <row r="69">
      <c r="A69" s="67" t="s">
        <v>14</v>
      </c>
      <c r="B69" s="68">
        <v>1.0E7</v>
      </c>
      <c r="C69" s="67">
        <v>1.02E7</v>
      </c>
      <c r="D69" s="67" t="s">
        <v>40</v>
      </c>
      <c r="E69" s="67" t="s">
        <v>50</v>
      </c>
      <c r="F69" s="67" t="s">
        <v>3</v>
      </c>
    </row>
    <row r="70">
      <c r="A70" s="67" t="s">
        <v>98</v>
      </c>
      <c r="B70" s="68">
        <v>2.0E7</v>
      </c>
      <c r="D70" s="67" t="s">
        <v>45</v>
      </c>
      <c r="E70" s="67" t="s">
        <v>41</v>
      </c>
    </row>
    <row r="71">
      <c r="B71" s="69"/>
    </row>
    <row r="72">
      <c r="B72" s="69"/>
    </row>
    <row r="73">
      <c r="B73" s="69"/>
    </row>
    <row r="74">
      <c r="B74" s="69"/>
    </row>
    <row r="75">
      <c r="B75" s="69"/>
    </row>
    <row r="76">
      <c r="B76" s="69"/>
    </row>
    <row r="77">
      <c r="B77" s="69"/>
    </row>
    <row r="78">
      <c r="B78" s="69"/>
    </row>
    <row r="79">
      <c r="B79" s="69"/>
    </row>
    <row r="80">
      <c r="B80" s="69"/>
    </row>
    <row r="81">
      <c r="B81" s="69"/>
    </row>
    <row r="82">
      <c r="B82" s="69"/>
    </row>
    <row r="83">
      <c r="B83" s="69"/>
    </row>
    <row r="84">
      <c r="B84" s="69"/>
    </row>
    <row r="85">
      <c r="B85" s="69"/>
    </row>
    <row r="86">
      <c r="B86" s="69"/>
    </row>
    <row r="87">
      <c r="B87" s="69"/>
    </row>
    <row r="88">
      <c r="B88" s="69"/>
    </row>
    <row r="89">
      <c r="B89" s="69"/>
    </row>
    <row r="90">
      <c r="B90" s="69"/>
    </row>
    <row r="91">
      <c r="B91" s="69"/>
    </row>
    <row r="92">
      <c r="B92" s="69"/>
    </row>
    <row r="93">
      <c r="B93" s="69"/>
    </row>
    <row r="94">
      <c r="B94" s="69"/>
    </row>
    <row r="95">
      <c r="B95" s="69"/>
    </row>
    <row r="96">
      <c r="B96" s="69"/>
    </row>
    <row r="97">
      <c r="B97" s="69"/>
    </row>
    <row r="98">
      <c r="B98" s="69"/>
    </row>
    <row r="99">
      <c r="B99" s="69"/>
    </row>
    <row r="100">
      <c r="B100" s="69"/>
    </row>
    <row r="101">
      <c r="B101" s="69"/>
    </row>
    <row r="102">
      <c r="B102" s="69"/>
    </row>
    <row r="103">
      <c r="B103" s="69"/>
    </row>
    <row r="104">
      <c r="B104" s="69"/>
    </row>
    <row r="105">
      <c r="B105" s="69"/>
    </row>
    <row r="106">
      <c r="B106" s="69"/>
    </row>
    <row r="107">
      <c r="B107" s="69"/>
    </row>
    <row r="108">
      <c r="B108" s="69"/>
    </row>
    <row r="109">
      <c r="B109" s="69"/>
    </row>
    <row r="110">
      <c r="B110" s="69"/>
    </row>
    <row r="111">
      <c r="B111" s="69"/>
    </row>
    <row r="112">
      <c r="B112" s="69"/>
    </row>
    <row r="113">
      <c r="B113" s="69"/>
    </row>
    <row r="114">
      <c r="B114" s="69"/>
    </row>
    <row r="115">
      <c r="B115" s="69"/>
    </row>
    <row r="116">
      <c r="B116" s="69"/>
    </row>
    <row r="117">
      <c r="B117" s="69"/>
    </row>
    <row r="118">
      <c r="B118" s="69"/>
    </row>
    <row r="119">
      <c r="B119" s="69"/>
    </row>
    <row r="120">
      <c r="B120" s="69"/>
    </row>
    <row r="121">
      <c r="B121" s="69"/>
    </row>
    <row r="122">
      <c r="B122" s="69"/>
    </row>
    <row r="123">
      <c r="B123" s="69"/>
    </row>
    <row r="124">
      <c r="B124" s="69"/>
    </row>
    <row r="125">
      <c r="B125" s="69"/>
    </row>
    <row r="126">
      <c r="B126" s="69"/>
    </row>
    <row r="127">
      <c r="B127" s="69"/>
    </row>
    <row r="128">
      <c r="B128" s="69"/>
    </row>
    <row r="129">
      <c r="B129" s="69"/>
    </row>
    <row r="130">
      <c r="B130" s="69"/>
    </row>
    <row r="131">
      <c r="B131" s="69"/>
    </row>
    <row r="132">
      <c r="B132" s="69"/>
    </row>
    <row r="133">
      <c r="B133" s="69"/>
    </row>
    <row r="134">
      <c r="B134" s="69"/>
    </row>
    <row r="135">
      <c r="B135" s="69"/>
    </row>
    <row r="136">
      <c r="B136" s="69"/>
    </row>
    <row r="137">
      <c r="B137" s="69"/>
    </row>
    <row r="138">
      <c r="B138" s="69"/>
    </row>
    <row r="139">
      <c r="B139" s="69"/>
    </row>
    <row r="140">
      <c r="B140" s="69"/>
    </row>
    <row r="141">
      <c r="B141" s="69"/>
    </row>
    <row r="142">
      <c r="B142" s="69"/>
    </row>
    <row r="143">
      <c r="B143" s="69"/>
    </row>
    <row r="144">
      <c r="B144" s="69"/>
    </row>
    <row r="145">
      <c r="B145" s="69"/>
    </row>
    <row r="146">
      <c r="B146" s="69"/>
    </row>
    <row r="147">
      <c r="B147" s="69"/>
    </row>
    <row r="148">
      <c r="B148" s="69"/>
    </row>
    <row r="149">
      <c r="B149" s="69"/>
    </row>
    <row r="150">
      <c r="B150" s="69"/>
    </row>
    <row r="151">
      <c r="B151" s="69"/>
    </row>
    <row r="152">
      <c r="B152" s="69"/>
    </row>
    <row r="153">
      <c r="B153" s="69"/>
    </row>
    <row r="154">
      <c r="B154" s="69"/>
    </row>
    <row r="155">
      <c r="B155" s="69"/>
    </row>
    <row r="156">
      <c r="B156" s="69"/>
    </row>
    <row r="157">
      <c r="B157" s="69"/>
    </row>
    <row r="158">
      <c r="B158" s="69"/>
    </row>
    <row r="159">
      <c r="B159" s="69"/>
    </row>
    <row r="160">
      <c r="B160" s="69"/>
    </row>
    <row r="161">
      <c r="B161" s="69"/>
    </row>
    <row r="162">
      <c r="B162" s="69"/>
    </row>
    <row r="163">
      <c r="B163" s="69"/>
    </row>
    <row r="164">
      <c r="B164" s="69"/>
    </row>
    <row r="165">
      <c r="B165" s="69"/>
    </row>
    <row r="166">
      <c r="B166" s="69"/>
    </row>
    <row r="167">
      <c r="B167" s="69"/>
    </row>
    <row r="168">
      <c r="B168" s="69"/>
    </row>
    <row r="169">
      <c r="B169" s="69"/>
    </row>
    <row r="170">
      <c r="B170" s="69"/>
    </row>
    <row r="171">
      <c r="B171" s="69"/>
    </row>
    <row r="172">
      <c r="B172" s="69"/>
    </row>
    <row r="173">
      <c r="B173" s="69"/>
    </row>
    <row r="174">
      <c r="B174" s="69"/>
    </row>
    <row r="175">
      <c r="B175" s="69"/>
    </row>
    <row r="176">
      <c r="B176" s="69"/>
    </row>
    <row r="177">
      <c r="B177" s="69"/>
    </row>
    <row r="178">
      <c r="B178" s="69"/>
    </row>
    <row r="179">
      <c r="B179" s="69"/>
    </row>
    <row r="180">
      <c r="B180" s="69"/>
    </row>
    <row r="181">
      <c r="B181" s="69"/>
    </row>
    <row r="182">
      <c r="B182" s="69"/>
    </row>
    <row r="183">
      <c r="B183" s="69"/>
    </row>
    <row r="184">
      <c r="B184" s="69"/>
    </row>
    <row r="185">
      <c r="B185" s="69"/>
    </row>
    <row r="186">
      <c r="B186" s="69"/>
    </row>
    <row r="187">
      <c r="B187" s="69"/>
    </row>
    <row r="188">
      <c r="B188" s="69"/>
    </row>
    <row r="189">
      <c r="B189" s="69"/>
    </row>
    <row r="190">
      <c r="B190" s="69"/>
    </row>
    <row r="191">
      <c r="B191" s="69"/>
    </row>
    <row r="192">
      <c r="B192" s="69"/>
    </row>
    <row r="193">
      <c r="B193" s="69"/>
    </row>
    <row r="194">
      <c r="B194" s="69"/>
    </row>
    <row r="195">
      <c r="B195" s="69"/>
    </row>
    <row r="196">
      <c r="B196" s="69"/>
    </row>
    <row r="197">
      <c r="B197" s="69"/>
    </row>
    <row r="198">
      <c r="B198" s="69"/>
    </row>
    <row r="199">
      <c r="B199" s="69"/>
    </row>
    <row r="200">
      <c r="B200" s="69"/>
    </row>
    <row r="201">
      <c r="B201" s="69"/>
    </row>
    <row r="202">
      <c r="B202" s="69"/>
    </row>
    <row r="203">
      <c r="B203" s="69"/>
    </row>
    <row r="204">
      <c r="B204" s="69"/>
    </row>
    <row r="205">
      <c r="B205" s="69"/>
    </row>
    <row r="206">
      <c r="B206" s="69"/>
    </row>
    <row r="207">
      <c r="B207" s="69"/>
    </row>
    <row r="208">
      <c r="B208" s="69"/>
    </row>
    <row r="209">
      <c r="B209" s="69"/>
    </row>
    <row r="210">
      <c r="B210" s="69"/>
    </row>
    <row r="211">
      <c r="B211" s="69"/>
    </row>
    <row r="212">
      <c r="B212" s="69"/>
    </row>
    <row r="213">
      <c r="B213" s="69"/>
    </row>
    <row r="214">
      <c r="B214" s="69"/>
    </row>
    <row r="215">
      <c r="B215" s="69"/>
    </row>
    <row r="216">
      <c r="B216" s="69"/>
    </row>
    <row r="217">
      <c r="B217" s="69"/>
    </row>
    <row r="218">
      <c r="B218" s="69"/>
    </row>
    <row r="219">
      <c r="B219" s="69"/>
    </row>
    <row r="220">
      <c r="B220" s="69"/>
    </row>
    <row r="221">
      <c r="B221" s="69"/>
    </row>
    <row r="222">
      <c r="B222" s="69"/>
    </row>
    <row r="223">
      <c r="B223" s="69"/>
    </row>
    <row r="224">
      <c r="B224" s="69"/>
    </row>
    <row r="225">
      <c r="B225" s="69"/>
    </row>
    <row r="226">
      <c r="B226" s="69"/>
    </row>
    <row r="227">
      <c r="B227" s="69"/>
    </row>
    <row r="228">
      <c r="B228" s="69"/>
    </row>
    <row r="229">
      <c r="B229" s="69"/>
    </row>
    <row r="230">
      <c r="B230" s="69"/>
    </row>
    <row r="231">
      <c r="B231" s="69"/>
    </row>
    <row r="232">
      <c r="B232" s="69"/>
    </row>
    <row r="233">
      <c r="B233" s="69"/>
    </row>
    <row r="234">
      <c r="B234" s="69"/>
    </row>
    <row r="235">
      <c r="B235" s="69"/>
    </row>
    <row r="236">
      <c r="B236" s="69"/>
    </row>
    <row r="237">
      <c r="B237" s="69"/>
    </row>
    <row r="238">
      <c r="B238" s="69"/>
    </row>
    <row r="239">
      <c r="B239" s="69"/>
    </row>
    <row r="240">
      <c r="B240" s="69"/>
    </row>
    <row r="241">
      <c r="B241" s="69"/>
    </row>
    <row r="242">
      <c r="B242" s="69"/>
    </row>
    <row r="243">
      <c r="B243" s="69"/>
    </row>
    <row r="244">
      <c r="B244" s="69"/>
    </row>
    <row r="245">
      <c r="B245" s="69"/>
    </row>
    <row r="246">
      <c r="B246" s="69"/>
    </row>
    <row r="247">
      <c r="B247" s="69"/>
    </row>
    <row r="248">
      <c r="B248" s="69"/>
    </row>
    <row r="249">
      <c r="B249" s="69"/>
    </row>
    <row r="250">
      <c r="B250" s="69"/>
    </row>
    <row r="251">
      <c r="B251" s="69"/>
    </row>
    <row r="252">
      <c r="B252" s="69"/>
    </row>
    <row r="253">
      <c r="B253" s="69"/>
    </row>
    <row r="254">
      <c r="B254" s="69"/>
    </row>
    <row r="255">
      <c r="B255" s="69"/>
    </row>
    <row r="256">
      <c r="B256" s="69"/>
    </row>
    <row r="257">
      <c r="B257" s="69"/>
    </row>
    <row r="258">
      <c r="B258" s="69"/>
    </row>
    <row r="259">
      <c r="B259" s="69"/>
    </row>
    <row r="260">
      <c r="B260" s="69"/>
    </row>
    <row r="261">
      <c r="B261" s="69"/>
    </row>
    <row r="262">
      <c r="B262" s="69"/>
    </row>
    <row r="263">
      <c r="B263" s="69"/>
    </row>
    <row r="264">
      <c r="B264" s="69"/>
    </row>
    <row r="265">
      <c r="B265" s="69"/>
    </row>
    <row r="266">
      <c r="B266" s="69"/>
    </row>
    <row r="267">
      <c r="B267" s="69"/>
    </row>
    <row r="268">
      <c r="B268" s="69"/>
    </row>
    <row r="269">
      <c r="B269" s="69"/>
    </row>
    <row r="270">
      <c r="B270" s="69"/>
    </row>
    <row r="271">
      <c r="B271" s="69"/>
    </row>
    <row r="272">
      <c r="B272" s="69"/>
    </row>
    <row r="273">
      <c r="B273" s="69"/>
    </row>
    <row r="274">
      <c r="B274" s="69"/>
    </row>
    <row r="275">
      <c r="B275" s="69"/>
    </row>
    <row r="276">
      <c r="B276" s="69"/>
    </row>
    <row r="277">
      <c r="B277" s="69"/>
    </row>
    <row r="278">
      <c r="B278" s="69"/>
    </row>
    <row r="279">
      <c r="B279" s="69"/>
    </row>
    <row r="280">
      <c r="B280" s="69"/>
    </row>
    <row r="281">
      <c r="B281" s="69"/>
    </row>
    <row r="282">
      <c r="B282" s="69"/>
    </row>
    <row r="283">
      <c r="B283" s="69"/>
    </row>
    <row r="284">
      <c r="B284" s="69"/>
    </row>
    <row r="285">
      <c r="B285" s="69"/>
    </row>
    <row r="286">
      <c r="B286" s="69"/>
    </row>
    <row r="287">
      <c r="B287" s="69"/>
    </row>
    <row r="288">
      <c r="B288" s="69"/>
    </row>
    <row r="289">
      <c r="B289" s="69"/>
    </row>
    <row r="290">
      <c r="B290" s="69"/>
    </row>
    <row r="291">
      <c r="B291" s="69"/>
    </row>
    <row r="292">
      <c r="B292" s="69"/>
    </row>
    <row r="293">
      <c r="B293" s="69"/>
    </row>
    <row r="294">
      <c r="B294" s="69"/>
    </row>
    <row r="295">
      <c r="B295" s="69"/>
    </row>
    <row r="296">
      <c r="B296" s="69"/>
    </row>
    <row r="297">
      <c r="B297" s="69"/>
    </row>
    <row r="298">
      <c r="B298" s="69"/>
    </row>
    <row r="299">
      <c r="B299" s="69"/>
    </row>
    <row r="300">
      <c r="B300" s="69"/>
    </row>
    <row r="301">
      <c r="B301" s="69"/>
    </row>
    <row r="302">
      <c r="B302" s="69"/>
    </row>
    <row r="303">
      <c r="B303" s="69"/>
    </row>
    <row r="304">
      <c r="B304" s="69"/>
    </row>
    <row r="305">
      <c r="B305" s="69"/>
    </row>
    <row r="306">
      <c r="B306" s="69"/>
    </row>
    <row r="307">
      <c r="B307" s="69"/>
    </row>
    <row r="308">
      <c r="B308" s="69"/>
    </row>
    <row r="309">
      <c r="B309" s="69"/>
    </row>
    <row r="310">
      <c r="B310" s="69"/>
    </row>
    <row r="311">
      <c r="B311" s="69"/>
    </row>
    <row r="312">
      <c r="B312" s="69"/>
    </row>
    <row r="313">
      <c r="B313" s="69"/>
    </row>
    <row r="314">
      <c r="B314" s="69"/>
    </row>
    <row r="315">
      <c r="B315" s="69"/>
    </row>
    <row r="316">
      <c r="B316" s="69"/>
    </row>
    <row r="317">
      <c r="B317" s="69"/>
    </row>
    <row r="318">
      <c r="B318" s="69"/>
    </row>
    <row r="319">
      <c r="B319" s="69"/>
    </row>
    <row r="320">
      <c r="B320" s="69"/>
    </row>
    <row r="321">
      <c r="B321" s="69"/>
    </row>
    <row r="322">
      <c r="B322" s="69"/>
    </row>
    <row r="323">
      <c r="B323" s="69"/>
    </row>
    <row r="324">
      <c r="B324" s="69"/>
    </row>
    <row r="325">
      <c r="B325" s="69"/>
    </row>
    <row r="326">
      <c r="B326" s="69"/>
    </row>
    <row r="327">
      <c r="B327" s="69"/>
    </row>
    <row r="328">
      <c r="B328" s="69"/>
    </row>
    <row r="329">
      <c r="B329" s="69"/>
    </row>
    <row r="330">
      <c r="B330" s="69"/>
    </row>
    <row r="331">
      <c r="B331" s="69"/>
    </row>
    <row r="332">
      <c r="B332" s="69"/>
    </row>
    <row r="333">
      <c r="B333" s="69"/>
    </row>
    <row r="334">
      <c r="B334" s="69"/>
    </row>
    <row r="335">
      <c r="B335" s="69"/>
    </row>
    <row r="336">
      <c r="B336" s="69"/>
    </row>
    <row r="337">
      <c r="B337" s="69"/>
    </row>
    <row r="338">
      <c r="B338" s="69"/>
    </row>
    <row r="339">
      <c r="B339" s="69"/>
    </row>
    <row r="340">
      <c r="B340" s="69"/>
    </row>
    <row r="341">
      <c r="B341" s="69"/>
    </row>
    <row r="342">
      <c r="B342" s="69"/>
    </row>
    <row r="343">
      <c r="B343" s="69"/>
    </row>
    <row r="344">
      <c r="B344" s="69"/>
    </row>
    <row r="345">
      <c r="B345" s="69"/>
    </row>
    <row r="346">
      <c r="B346" s="69"/>
    </row>
    <row r="347">
      <c r="B347" s="69"/>
    </row>
    <row r="348">
      <c r="B348" s="69"/>
    </row>
    <row r="349">
      <c r="B349" s="69"/>
    </row>
    <row r="350">
      <c r="B350" s="69"/>
    </row>
    <row r="351">
      <c r="B351" s="69"/>
    </row>
    <row r="352">
      <c r="B352" s="69"/>
    </row>
    <row r="353">
      <c r="B353" s="69"/>
    </row>
    <row r="354">
      <c r="B354" s="69"/>
    </row>
    <row r="355">
      <c r="B355" s="69"/>
    </row>
    <row r="356">
      <c r="B356" s="69"/>
    </row>
    <row r="357">
      <c r="B357" s="69"/>
    </row>
    <row r="358">
      <c r="B358" s="69"/>
    </row>
    <row r="359">
      <c r="B359" s="69"/>
    </row>
    <row r="360">
      <c r="B360" s="69"/>
    </row>
    <row r="361">
      <c r="B361" s="69"/>
    </row>
    <row r="362">
      <c r="B362" s="69"/>
    </row>
    <row r="363">
      <c r="B363" s="69"/>
    </row>
    <row r="364">
      <c r="B364" s="69"/>
    </row>
    <row r="365">
      <c r="B365" s="69"/>
    </row>
    <row r="366">
      <c r="B366" s="69"/>
    </row>
    <row r="367">
      <c r="B367" s="69"/>
    </row>
    <row r="368">
      <c r="B368" s="69"/>
    </row>
    <row r="369">
      <c r="B369" s="69"/>
    </row>
    <row r="370">
      <c r="B370" s="69"/>
    </row>
    <row r="371">
      <c r="B371" s="69"/>
    </row>
    <row r="372">
      <c r="B372" s="69"/>
    </row>
    <row r="373">
      <c r="B373" s="69"/>
    </row>
    <row r="374">
      <c r="B374" s="69"/>
    </row>
    <row r="375">
      <c r="B375" s="69"/>
    </row>
    <row r="376">
      <c r="B376" s="69"/>
    </row>
    <row r="377">
      <c r="B377" s="69"/>
    </row>
    <row r="378">
      <c r="B378" s="69"/>
    </row>
    <row r="379">
      <c r="B379" s="69"/>
    </row>
    <row r="380">
      <c r="B380" s="69"/>
    </row>
    <row r="381">
      <c r="B381" s="69"/>
    </row>
    <row r="382">
      <c r="B382" s="69"/>
    </row>
    <row r="383">
      <c r="B383" s="69"/>
    </row>
    <row r="384">
      <c r="B384" s="69"/>
    </row>
    <row r="385">
      <c r="B385" s="69"/>
    </row>
    <row r="386">
      <c r="B386" s="69"/>
    </row>
    <row r="387">
      <c r="B387" s="69"/>
    </row>
    <row r="388">
      <c r="B388" s="69"/>
    </row>
    <row r="389">
      <c r="B389" s="69"/>
    </row>
    <row r="390">
      <c r="B390" s="69"/>
    </row>
    <row r="391">
      <c r="B391" s="69"/>
    </row>
    <row r="392">
      <c r="B392" s="69"/>
    </row>
    <row r="393">
      <c r="B393" s="69"/>
    </row>
    <row r="394">
      <c r="B394" s="69"/>
    </row>
    <row r="395">
      <c r="B395" s="69"/>
    </row>
    <row r="396">
      <c r="B396" s="69"/>
    </row>
    <row r="397">
      <c r="B397" s="69"/>
    </row>
    <row r="398">
      <c r="B398" s="69"/>
    </row>
    <row r="399">
      <c r="B399" s="69"/>
    </row>
    <row r="400">
      <c r="B400" s="69"/>
    </row>
    <row r="401">
      <c r="B401" s="69"/>
    </row>
    <row r="402">
      <c r="B402" s="69"/>
    </row>
    <row r="403">
      <c r="B403" s="69"/>
    </row>
    <row r="404">
      <c r="B404" s="69"/>
    </row>
    <row r="405">
      <c r="B405" s="69"/>
    </row>
    <row r="406">
      <c r="B406" s="69"/>
    </row>
    <row r="407">
      <c r="B407" s="69"/>
    </row>
    <row r="408">
      <c r="B408" s="69"/>
    </row>
    <row r="409">
      <c r="B409" s="69"/>
    </row>
    <row r="410">
      <c r="B410" s="69"/>
    </row>
    <row r="411">
      <c r="B411" s="69"/>
    </row>
    <row r="412">
      <c r="B412" s="69"/>
    </row>
    <row r="413">
      <c r="B413" s="69"/>
    </row>
    <row r="414">
      <c r="B414" s="69"/>
    </row>
    <row r="415">
      <c r="B415" s="69"/>
    </row>
    <row r="416">
      <c r="B416" s="69"/>
    </row>
    <row r="417">
      <c r="B417" s="69"/>
    </row>
    <row r="418">
      <c r="B418" s="69"/>
    </row>
    <row r="419">
      <c r="B419" s="69"/>
    </row>
    <row r="420">
      <c r="B420" s="69"/>
    </row>
    <row r="421">
      <c r="B421" s="69"/>
    </row>
    <row r="422">
      <c r="B422" s="69"/>
    </row>
    <row r="423">
      <c r="B423" s="69"/>
    </row>
    <row r="424">
      <c r="B424" s="69"/>
    </row>
    <row r="425">
      <c r="B425" s="69"/>
    </row>
    <row r="426">
      <c r="B426" s="69"/>
    </row>
    <row r="427">
      <c r="B427" s="69"/>
    </row>
    <row r="428">
      <c r="B428" s="69"/>
    </row>
    <row r="429">
      <c r="B429" s="69"/>
    </row>
    <row r="430">
      <c r="B430" s="69"/>
    </row>
    <row r="431">
      <c r="B431" s="69"/>
    </row>
    <row r="432">
      <c r="B432" s="69"/>
    </row>
    <row r="433">
      <c r="B433" s="69"/>
    </row>
    <row r="434">
      <c r="B434" s="69"/>
    </row>
    <row r="435">
      <c r="B435" s="69"/>
    </row>
    <row r="436">
      <c r="B436" s="69"/>
    </row>
    <row r="437">
      <c r="B437" s="69"/>
    </row>
    <row r="438">
      <c r="B438" s="69"/>
    </row>
    <row r="439">
      <c r="B439" s="69"/>
    </row>
    <row r="440">
      <c r="B440" s="69"/>
    </row>
    <row r="441">
      <c r="B441" s="69"/>
    </row>
    <row r="442">
      <c r="B442" s="69"/>
    </row>
    <row r="443">
      <c r="B443" s="69"/>
    </row>
    <row r="444">
      <c r="B444" s="69"/>
    </row>
    <row r="445">
      <c r="B445" s="69"/>
    </row>
    <row r="446">
      <c r="B446" s="69"/>
    </row>
    <row r="447">
      <c r="B447" s="69"/>
    </row>
    <row r="448">
      <c r="B448" s="69"/>
    </row>
    <row r="449">
      <c r="B449" s="69"/>
    </row>
    <row r="450">
      <c r="B450" s="69"/>
    </row>
    <row r="451">
      <c r="B451" s="69"/>
    </row>
    <row r="452">
      <c r="B452" s="69"/>
    </row>
    <row r="453">
      <c r="B453" s="69"/>
    </row>
    <row r="454">
      <c r="B454" s="69"/>
    </row>
    <row r="455">
      <c r="B455" s="69"/>
    </row>
    <row r="456">
      <c r="B456" s="69"/>
    </row>
    <row r="457">
      <c r="B457" s="69"/>
    </row>
    <row r="458">
      <c r="B458" s="69"/>
    </row>
    <row r="459">
      <c r="B459" s="69"/>
    </row>
    <row r="460">
      <c r="B460" s="69"/>
    </row>
    <row r="461">
      <c r="B461" s="69"/>
    </row>
    <row r="462">
      <c r="B462" s="69"/>
    </row>
    <row r="463">
      <c r="B463" s="69"/>
    </row>
    <row r="464">
      <c r="B464" s="69"/>
    </row>
    <row r="465">
      <c r="B465" s="69"/>
    </row>
    <row r="466">
      <c r="B466" s="69"/>
    </row>
    <row r="467">
      <c r="B467" s="69"/>
    </row>
    <row r="468">
      <c r="B468" s="69"/>
    </row>
    <row r="469">
      <c r="B469" s="69"/>
    </row>
    <row r="470">
      <c r="B470" s="69"/>
    </row>
    <row r="471">
      <c r="B471" s="69"/>
    </row>
    <row r="472">
      <c r="B472" s="69"/>
    </row>
    <row r="473">
      <c r="B473" s="69"/>
    </row>
    <row r="474">
      <c r="B474" s="69"/>
    </row>
    <row r="475">
      <c r="B475" s="69"/>
    </row>
    <row r="476">
      <c r="B476" s="69"/>
    </row>
    <row r="477">
      <c r="B477" s="69"/>
    </row>
    <row r="478">
      <c r="B478" s="69"/>
    </row>
    <row r="479">
      <c r="B479" s="69"/>
    </row>
    <row r="480">
      <c r="B480" s="69"/>
    </row>
    <row r="481">
      <c r="B481" s="69"/>
    </row>
    <row r="482">
      <c r="B482" s="69"/>
    </row>
    <row r="483">
      <c r="B483" s="69"/>
    </row>
    <row r="484">
      <c r="B484" s="69"/>
    </row>
    <row r="485">
      <c r="B485" s="69"/>
    </row>
    <row r="486">
      <c r="B486" s="69"/>
    </row>
    <row r="487">
      <c r="B487" s="69"/>
    </row>
    <row r="488">
      <c r="B488" s="69"/>
    </row>
    <row r="489">
      <c r="B489" s="69"/>
    </row>
    <row r="490">
      <c r="B490" s="69"/>
    </row>
    <row r="491">
      <c r="B491" s="69"/>
    </row>
    <row r="492">
      <c r="B492" s="69"/>
    </row>
    <row r="493">
      <c r="B493" s="69"/>
    </row>
    <row r="494">
      <c r="B494" s="69"/>
    </row>
    <row r="495">
      <c r="B495" s="69"/>
    </row>
    <row r="496">
      <c r="B496" s="69"/>
    </row>
    <row r="497">
      <c r="B497" s="69"/>
    </row>
    <row r="498">
      <c r="B498" s="69"/>
    </row>
    <row r="499">
      <c r="B499" s="69"/>
    </row>
    <row r="500">
      <c r="B500" s="69"/>
    </row>
    <row r="501">
      <c r="B501" s="69"/>
    </row>
    <row r="502">
      <c r="B502" s="69"/>
    </row>
    <row r="503">
      <c r="B503" s="69"/>
    </row>
    <row r="504">
      <c r="B504" s="69"/>
    </row>
    <row r="505">
      <c r="B505" s="69"/>
    </row>
    <row r="506">
      <c r="B506" s="69"/>
    </row>
    <row r="507">
      <c r="B507" s="69"/>
    </row>
    <row r="508">
      <c r="B508" s="69"/>
    </row>
    <row r="509">
      <c r="B509" s="69"/>
    </row>
    <row r="510">
      <c r="B510" s="69"/>
    </row>
    <row r="511">
      <c r="B511" s="69"/>
    </row>
    <row r="512">
      <c r="B512" s="69"/>
    </row>
    <row r="513">
      <c r="B513" s="69"/>
    </row>
    <row r="514">
      <c r="B514" s="69"/>
    </row>
    <row r="515">
      <c r="B515" s="69"/>
    </row>
    <row r="516">
      <c r="B516" s="69"/>
    </row>
    <row r="517">
      <c r="B517" s="69"/>
    </row>
    <row r="518">
      <c r="B518" s="69"/>
    </row>
    <row r="519">
      <c r="B519" s="69"/>
    </row>
    <row r="520">
      <c r="B520" s="69"/>
    </row>
    <row r="521">
      <c r="B521" s="69"/>
    </row>
    <row r="522">
      <c r="B522" s="69"/>
    </row>
    <row r="523">
      <c r="B523" s="69"/>
    </row>
    <row r="524">
      <c r="B524" s="69"/>
    </row>
    <row r="525">
      <c r="B525" s="69"/>
    </row>
    <row r="526">
      <c r="B526" s="69"/>
    </row>
    <row r="527">
      <c r="B527" s="69"/>
    </row>
    <row r="528">
      <c r="B528" s="69"/>
    </row>
    <row r="529">
      <c r="B529" s="69"/>
    </row>
    <row r="530">
      <c r="B530" s="69"/>
    </row>
    <row r="531">
      <c r="B531" s="69"/>
    </row>
    <row r="532">
      <c r="B532" s="69"/>
    </row>
    <row r="533">
      <c r="B533" s="69"/>
    </row>
    <row r="534">
      <c r="B534" s="69"/>
    </row>
    <row r="535">
      <c r="B535" s="69"/>
    </row>
    <row r="536">
      <c r="B536" s="69"/>
    </row>
    <row r="537">
      <c r="B537" s="69"/>
    </row>
    <row r="538">
      <c r="B538" s="69"/>
    </row>
    <row r="539">
      <c r="B539" s="69"/>
    </row>
    <row r="540">
      <c r="B540" s="69"/>
    </row>
    <row r="541">
      <c r="B541" s="69"/>
    </row>
    <row r="542">
      <c r="B542" s="69"/>
    </row>
    <row r="543">
      <c r="B543" s="69"/>
    </row>
    <row r="544">
      <c r="B544" s="69"/>
    </row>
    <row r="545">
      <c r="B545" s="69"/>
    </row>
    <row r="546">
      <c r="B546" s="69"/>
    </row>
    <row r="547">
      <c r="B547" s="69"/>
    </row>
    <row r="548">
      <c r="B548" s="69"/>
    </row>
    <row r="549">
      <c r="B549" s="69"/>
    </row>
    <row r="550">
      <c r="B550" s="69"/>
    </row>
    <row r="551">
      <c r="B551" s="69"/>
    </row>
    <row r="552">
      <c r="B552" s="69"/>
    </row>
    <row r="553">
      <c r="B553" s="69"/>
    </row>
    <row r="554">
      <c r="B554" s="69"/>
    </row>
    <row r="555">
      <c r="B555" s="69"/>
    </row>
    <row r="556">
      <c r="B556" s="69"/>
    </row>
    <row r="557">
      <c r="B557" s="69"/>
    </row>
    <row r="558">
      <c r="B558" s="69"/>
    </row>
    <row r="559">
      <c r="B559" s="69"/>
    </row>
    <row r="560">
      <c r="B560" s="69"/>
    </row>
    <row r="561">
      <c r="B561" s="69"/>
    </row>
    <row r="562">
      <c r="B562" s="69"/>
    </row>
    <row r="563">
      <c r="B563" s="69"/>
    </row>
    <row r="564">
      <c r="B564" s="69"/>
    </row>
    <row r="565">
      <c r="B565" s="69"/>
    </row>
    <row r="566">
      <c r="B566" s="69"/>
    </row>
    <row r="567">
      <c r="B567" s="69"/>
    </row>
    <row r="568">
      <c r="B568" s="69"/>
    </row>
    <row r="569">
      <c r="B569" s="69"/>
    </row>
    <row r="570">
      <c r="B570" s="69"/>
    </row>
    <row r="571">
      <c r="B571" s="69"/>
    </row>
    <row r="572">
      <c r="B572" s="69"/>
    </row>
    <row r="573">
      <c r="B573" s="69"/>
    </row>
    <row r="574">
      <c r="B574" s="69"/>
    </row>
    <row r="575">
      <c r="B575" s="69"/>
    </row>
    <row r="576">
      <c r="B576" s="69"/>
    </row>
    <row r="577">
      <c r="B577" s="69"/>
    </row>
    <row r="578">
      <c r="B578" s="69"/>
    </row>
    <row r="579">
      <c r="B579" s="69"/>
    </row>
    <row r="580">
      <c r="B580" s="69"/>
    </row>
    <row r="581">
      <c r="B581" s="69"/>
    </row>
    <row r="582">
      <c r="B582" s="69"/>
    </row>
    <row r="583">
      <c r="B583" s="69"/>
    </row>
    <row r="584">
      <c r="B584" s="69"/>
    </row>
    <row r="585">
      <c r="B585" s="69"/>
    </row>
    <row r="586">
      <c r="B586" s="69"/>
    </row>
    <row r="587">
      <c r="B587" s="69"/>
    </row>
    <row r="588">
      <c r="B588" s="69"/>
    </row>
    <row r="589">
      <c r="B589" s="69"/>
    </row>
    <row r="590">
      <c r="B590" s="69"/>
    </row>
    <row r="591">
      <c r="B591" s="69"/>
    </row>
    <row r="592">
      <c r="B592" s="69"/>
    </row>
    <row r="593">
      <c r="B593" s="69"/>
    </row>
    <row r="594">
      <c r="B594" s="69"/>
    </row>
    <row r="595">
      <c r="B595" s="69"/>
    </row>
    <row r="596">
      <c r="B596" s="69"/>
    </row>
    <row r="597">
      <c r="B597" s="69"/>
    </row>
    <row r="598">
      <c r="B598" s="69"/>
    </row>
    <row r="599">
      <c r="B599" s="69"/>
    </row>
    <row r="600">
      <c r="B600" s="69"/>
    </row>
    <row r="601">
      <c r="B601" s="69"/>
    </row>
    <row r="602">
      <c r="B602" s="69"/>
    </row>
    <row r="603">
      <c r="B603" s="69"/>
    </row>
    <row r="604">
      <c r="B604" s="69"/>
    </row>
    <row r="605">
      <c r="B605" s="69"/>
    </row>
    <row r="606">
      <c r="B606" s="69"/>
    </row>
    <row r="607">
      <c r="B607" s="69"/>
    </row>
    <row r="608">
      <c r="B608" s="69"/>
    </row>
    <row r="609">
      <c r="B609" s="69"/>
    </row>
    <row r="610">
      <c r="B610" s="69"/>
    </row>
    <row r="611">
      <c r="B611" s="69"/>
    </row>
    <row r="612">
      <c r="B612" s="69"/>
    </row>
    <row r="613">
      <c r="B613" s="69"/>
    </row>
    <row r="614">
      <c r="B614" s="69"/>
    </row>
    <row r="615">
      <c r="B615" s="69"/>
    </row>
    <row r="616">
      <c r="B616" s="69"/>
    </row>
    <row r="617">
      <c r="B617" s="69"/>
    </row>
    <row r="618">
      <c r="B618" s="69"/>
    </row>
    <row r="619">
      <c r="B619" s="69"/>
    </row>
    <row r="620">
      <c r="B620" s="69"/>
    </row>
    <row r="621">
      <c r="B621" s="69"/>
    </row>
    <row r="622">
      <c r="B622" s="69"/>
    </row>
    <row r="623">
      <c r="B623" s="69"/>
    </row>
    <row r="624">
      <c r="B624" s="69"/>
    </row>
    <row r="625">
      <c r="B625" s="69"/>
    </row>
    <row r="626">
      <c r="B626" s="69"/>
    </row>
    <row r="627">
      <c r="B627" s="69"/>
    </row>
    <row r="628">
      <c r="B628" s="69"/>
    </row>
    <row r="629">
      <c r="B629" s="69"/>
    </row>
    <row r="630">
      <c r="B630" s="69"/>
    </row>
    <row r="631">
      <c r="B631" s="69"/>
    </row>
    <row r="632">
      <c r="B632" s="69"/>
    </row>
    <row r="633">
      <c r="B633" s="69"/>
    </row>
    <row r="634">
      <c r="B634" s="69"/>
    </row>
    <row r="635">
      <c r="B635" s="69"/>
    </row>
    <row r="636">
      <c r="B636" s="69"/>
    </row>
    <row r="637">
      <c r="B637" s="69"/>
    </row>
    <row r="638">
      <c r="B638" s="69"/>
    </row>
    <row r="639">
      <c r="B639" s="69"/>
    </row>
    <row r="640">
      <c r="B640" s="69"/>
    </row>
    <row r="641">
      <c r="B641" s="69"/>
    </row>
    <row r="642">
      <c r="B642" s="69"/>
    </row>
    <row r="643">
      <c r="B643" s="69"/>
    </row>
    <row r="644">
      <c r="B644" s="69"/>
    </row>
    <row r="645">
      <c r="B645" s="69"/>
    </row>
    <row r="646">
      <c r="B646" s="69"/>
    </row>
    <row r="647">
      <c r="B647" s="69"/>
    </row>
    <row r="648">
      <c r="B648" s="69"/>
    </row>
    <row r="649">
      <c r="B649" s="69"/>
    </row>
    <row r="650">
      <c r="B650" s="69"/>
    </row>
    <row r="651">
      <c r="B651" s="69"/>
    </row>
    <row r="652">
      <c r="B652" s="69"/>
    </row>
    <row r="653">
      <c r="B653" s="69"/>
    </row>
    <row r="654">
      <c r="B654" s="69"/>
    </row>
    <row r="655">
      <c r="B655" s="69"/>
    </row>
    <row r="656">
      <c r="B656" s="69"/>
    </row>
    <row r="657">
      <c r="B657" s="69"/>
    </row>
    <row r="658">
      <c r="B658" s="69"/>
    </row>
    <row r="659">
      <c r="B659" s="69"/>
    </row>
    <row r="660">
      <c r="B660" s="69"/>
    </row>
    <row r="661">
      <c r="B661" s="69"/>
    </row>
    <row r="662">
      <c r="B662" s="69"/>
    </row>
    <row r="663">
      <c r="B663" s="69"/>
    </row>
    <row r="664">
      <c r="B664" s="69"/>
    </row>
    <row r="665">
      <c r="B665" s="69"/>
    </row>
    <row r="666">
      <c r="B666" s="69"/>
    </row>
    <row r="667">
      <c r="B667" s="69"/>
    </row>
    <row r="668">
      <c r="B668" s="69"/>
    </row>
    <row r="669">
      <c r="B669" s="69"/>
    </row>
    <row r="670">
      <c r="B670" s="69"/>
    </row>
    <row r="671">
      <c r="B671" s="69"/>
    </row>
    <row r="672">
      <c r="B672" s="69"/>
    </row>
    <row r="673">
      <c r="B673" s="69"/>
    </row>
    <row r="674">
      <c r="B674" s="69"/>
    </row>
    <row r="675">
      <c r="B675" s="69"/>
    </row>
    <row r="676">
      <c r="B676" s="69"/>
    </row>
    <row r="677">
      <c r="B677" s="69"/>
    </row>
    <row r="678">
      <c r="B678" s="69"/>
    </row>
    <row r="679">
      <c r="B679" s="69"/>
    </row>
    <row r="680">
      <c r="B680" s="69"/>
    </row>
    <row r="681">
      <c r="B681" s="69"/>
    </row>
    <row r="682">
      <c r="B682" s="69"/>
    </row>
    <row r="683">
      <c r="B683" s="69"/>
    </row>
    <row r="684">
      <c r="B684" s="69"/>
    </row>
    <row r="685">
      <c r="B685" s="69"/>
    </row>
    <row r="686">
      <c r="B686" s="69"/>
    </row>
    <row r="687">
      <c r="B687" s="69"/>
    </row>
    <row r="688">
      <c r="B688" s="69"/>
    </row>
    <row r="689">
      <c r="B689" s="69"/>
    </row>
    <row r="690">
      <c r="B690" s="69"/>
    </row>
    <row r="691">
      <c r="B691" s="69"/>
    </row>
    <row r="692">
      <c r="B692" s="69"/>
    </row>
    <row r="693">
      <c r="B693" s="69"/>
    </row>
    <row r="694">
      <c r="B694" s="69"/>
    </row>
    <row r="695">
      <c r="B695" s="69"/>
    </row>
    <row r="696">
      <c r="B696" s="69"/>
    </row>
    <row r="697">
      <c r="B697" s="69"/>
    </row>
    <row r="698">
      <c r="B698" s="69"/>
    </row>
    <row r="699">
      <c r="B699" s="69"/>
    </row>
    <row r="700">
      <c r="B700" s="69"/>
    </row>
    <row r="701">
      <c r="B701" s="69"/>
    </row>
    <row r="702">
      <c r="B702" s="69"/>
    </row>
    <row r="703">
      <c r="B703" s="69"/>
    </row>
    <row r="704">
      <c r="B704" s="69"/>
    </row>
    <row r="705">
      <c r="B705" s="69"/>
    </row>
    <row r="706">
      <c r="B706" s="69"/>
    </row>
    <row r="707">
      <c r="B707" s="69"/>
    </row>
    <row r="708">
      <c r="B708" s="69"/>
    </row>
    <row r="709">
      <c r="B709" s="69"/>
    </row>
    <row r="710">
      <c r="B710" s="69"/>
    </row>
    <row r="711">
      <c r="B711" s="69"/>
    </row>
    <row r="712">
      <c r="B712" s="69"/>
    </row>
    <row r="713">
      <c r="B713" s="69"/>
    </row>
    <row r="714">
      <c r="B714" s="69"/>
    </row>
    <row r="715">
      <c r="B715" s="69"/>
    </row>
    <row r="716">
      <c r="B716" s="69"/>
    </row>
    <row r="717">
      <c r="B717" s="69"/>
    </row>
    <row r="718">
      <c r="B718" s="69"/>
    </row>
    <row r="719">
      <c r="B719" s="69"/>
    </row>
    <row r="720">
      <c r="B720" s="69"/>
    </row>
    <row r="721">
      <c r="B721" s="69"/>
    </row>
    <row r="722">
      <c r="B722" s="69"/>
    </row>
    <row r="723">
      <c r="B723" s="69"/>
    </row>
    <row r="724">
      <c r="B724" s="69"/>
    </row>
    <row r="725">
      <c r="B725" s="69"/>
    </row>
    <row r="726">
      <c r="B726" s="69"/>
    </row>
    <row r="727">
      <c r="B727" s="69"/>
    </row>
    <row r="728">
      <c r="B728" s="69"/>
    </row>
    <row r="729">
      <c r="B729" s="69"/>
    </row>
    <row r="730">
      <c r="B730" s="69"/>
    </row>
    <row r="731">
      <c r="B731" s="69"/>
    </row>
    <row r="732">
      <c r="B732" s="69"/>
    </row>
    <row r="733">
      <c r="B733" s="69"/>
    </row>
    <row r="734">
      <c r="B734" s="69"/>
    </row>
    <row r="735">
      <c r="B735" s="69"/>
    </row>
    <row r="736">
      <c r="B736" s="69"/>
    </row>
    <row r="737">
      <c r="B737" s="69"/>
    </row>
    <row r="738">
      <c r="B738" s="69"/>
    </row>
    <row r="739">
      <c r="B739" s="69"/>
    </row>
    <row r="740">
      <c r="B740" s="69"/>
    </row>
    <row r="741">
      <c r="B741" s="69"/>
    </row>
    <row r="742">
      <c r="B742" s="69"/>
    </row>
    <row r="743">
      <c r="B743" s="69"/>
    </row>
    <row r="744">
      <c r="B744" s="69"/>
    </row>
    <row r="745">
      <c r="B745" s="69"/>
    </row>
    <row r="746">
      <c r="B746" s="69"/>
    </row>
    <row r="747">
      <c r="B747" s="69"/>
    </row>
    <row r="748">
      <c r="B748" s="69"/>
    </row>
    <row r="749">
      <c r="B749" s="69"/>
    </row>
    <row r="750">
      <c r="B750" s="69"/>
    </row>
    <row r="751">
      <c r="B751" s="69"/>
    </row>
    <row r="752">
      <c r="B752" s="69"/>
    </row>
    <row r="753">
      <c r="B753" s="69"/>
    </row>
    <row r="754">
      <c r="B754" s="69"/>
    </row>
    <row r="755">
      <c r="B755" s="69"/>
    </row>
    <row r="756">
      <c r="B756" s="69"/>
    </row>
    <row r="757">
      <c r="B757" s="69"/>
    </row>
    <row r="758">
      <c r="B758" s="69"/>
    </row>
    <row r="759">
      <c r="B759" s="69"/>
    </row>
    <row r="760">
      <c r="B760" s="69"/>
    </row>
    <row r="761">
      <c r="B761" s="69"/>
    </row>
    <row r="762">
      <c r="B762" s="69"/>
    </row>
    <row r="763">
      <c r="B763" s="69"/>
    </row>
    <row r="764">
      <c r="B764" s="69"/>
    </row>
    <row r="765">
      <c r="B765" s="69"/>
    </row>
    <row r="766">
      <c r="B766" s="69"/>
    </row>
    <row r="767">
      <c r="B767" s="69"/>
    </row>
    <row r="768">
      <c r="B768" s="69"/>
    </row>
    <row r="769">
      <c r="B769" s="69"/>
    </row>
    <row r="770">
      <c r="B770" s="69"/>
    </row>
    <row r="771">
      <c r="B771" s="69"/>
    </row>
    <row r="772">
      <c r="B772" s="69"/>
    </row>
    <row r="773">
      <c r="B773" s="69"/>
    </row>
    <row r="774">
      <c r="B774" s="69"/>
    </row>
    <row r="775">
      <c r="B775" s="69"/>
    </row>
    <row r="776">
      <c r="B776" s="69"/>
    </row>
    <row r="777">
      <c r="B777" s="69"/>
    </row>
    <row r="778">
      <c r="B778" s="69"/>
    </row>
    <row r="779">
      <c r="B779" s="69"/>
    </row>
    <row r="780">
      <c r="B780" s="69"/>
    </row>
    <row r="781">
      <c r="B781" s="69"/>
    </row>
    <row r="782">
      <c r="B782" s="69"/>
    </row>
    <row r="783">
      <c r="B783" s="69"/>
    </row>
    <row r="784">
      <c r="B784" s="69"/>
    </row>
    <row r="785">
      <c r="B785" s="69"/>
    </row>
    <row r="786">
      <c r="B786" s="69"/>
    </row>
    <row r="787">
      <c r="B787" s="69"/>
    </row>
    <row r="788">
      <c r="B788" s="69"/>
    </row>
    <row r="789">
      <c r="B789" s="69"/>
    </row>
    <row r="790">
      <c r="B790" s="69"/>
    </row>
    <row r="791">
      <c r="B791" s="69"/>
    </row>
    <row r="792">
      <c r="B792" s="69"/>
    </row>
    <row r="793">
      <c r="B793" s="69"/>
    </row>
    <row r="794">
      <c r="B794" s="69"/>
    </row>
    <row r="795">
      <c r="B795" s="69"/>
    </row>
    <row r="796">
      <c r="B796" s="69"/>
    </row>
    <row r="797">
      <c r="B797" s="69"/>
    </row>
    <row r="798">
      <c r="B798" s="69"/>
    </row>
    <row r="799">
      <c r="B799" s="69"/>
    </row>
    <row r="800">
      <c r="B800" s="69"/>
    </row>
    <row r="801">
      <c r="B801" s="69"/>
    </row>
    <row r="802">
      <c r="B802" s="69"/>
    </row>
    <row r="803">
      <c r="B803" s="69"/>
    </row>
    <row r="804">
      <c r="B804" s="69"/>
    </row>
    <row r="805">
      <c r="B805" s="69"/>
    </row>
    <row r="806">
      <c r="B806" s="69"/>
    </row>
    <row r="807">
      <c r="B807" s="69"/>
    </row>
    <row r="808">
      <c r="B808" s="69"/>
    </row>
    <row r="809">
      <c r="B809" s="69"/>
    </row>
    <row r="810">
      <c r="B810" s="69"/>
    </row>
    <row r="811">
      <c r="B811" s="69"/>
    </row>
    <row r="812">
      <c r="B812" s="69"/>
    </row>
    <row r="813">
      <c r="B813" s="69"/>
    </row>
    <row r="814">
      <c r="B814" s="69"/>
    </row>
    <row r="815">
      <c r="B815" s="69"/>
    </row>
    <row r="816">
      <c r="B816" s="69"/>
    </row>
    <row r="817">
      <c r="B817" s="69"/>
    </row>
    <row r="818">
      <c r="B818" s="69"/>
    </row>
    <row r="819">
      <c r="B819" s="69"/>
    </row>
    <row r="820">
      <c r="B820" s="69"/>
    </row>
    <row r="821">
      <c r="B821" s="69"/>
    </row>
    <row r="822">
      <c r="B822" s="69"/>
    </row>
    <row r="823">
      <c r="B823" s="69"/>
    </row>
    <row r="824">
      <c r="B824" s="69"/>
    </row>
    <row r="825">
      <c r="B825" s="69"/>
    </row>
    <row r="826">
      <c r="B826" s="69"/>
    </row>
    <row r="827">
      <c r="B827" s="69"/>
    </row>
    <row r="828">
      <c r="B828" s="69"/>
    </row>
    <row r="829">
      <c r="B829" s="69"/>
    </row>
    <row r="830">
      <c r="B830" s="69"/>
    </row>
    <row r="831">
      <c r="B831" s="69"/>
    </row>
    <row r="832">
      <c r="B832" s="69"/>
    </row>
    <row r="833">
      <c r="B833" s="69"/>
    </row>
    <row r="834">
      <c r="B834" s="69"/>
    </row>
    <row r="835">
      <c r="B835" s="69"/>
    </row>
    <row r="836">
      <c r="B836" s="69"/>
    </row>
    <row r="837">
      <c r="B837" s="69"/>
    </row>
    <row r="838">
      <c r="B838" s="69"/>
    </row>
    <row r="839">
      <c r="B839" s="69"/>
    </row>
    <row r="840">
      <c r="B840" s="69"/>
    </row>
    <row r="841">
      <c r="B841" s="69"/>
    </row>
    <row r="842">
      <c r="B842" s="69"/>
    </row>
    <row r="843">
      <c r="B843" s="69"/>
    </row>
    <row r="844">
      <c r="B844" s="69"/>
    </row>
    <row r="845">
      <c r="B845" s="69"/>
    </row>
    <row r="846">
      <c r="B846" s="69"/>
    </row>
    <row r="847">
      <c r="B847" s="69"/>
    </row>
    <row r="848">
      <c r="B848" s="69"/>
    </row>
    <row r="849">
      <c r="B849" s="69"/>
    </row>
    <row r="850">
      <c r="B850" s="69"/>
    </row>
    <row r="851">
      <c r="B851" s="69"/>
    </row>
    <row r="852">
      <c r="B852" s="69"/>
    </row>
    <row r="853">
      <c r="B853" s="69"/>
    </row>
    <row r="854">
      <c r="B854" s="69"/>
    </row>
    <row r="855">
      <c r="B855" s="69"/>
    </row>
    <row r="856">
      <c r="B856" s="69"/>
    </row>
    <row r="857">
      <c r="B857" s="69"/>
    </row>
    <row r="858">
      <c r="B858" s="69"/>
    </row>
    <row r="859">
      <c r="B859" s="69"/>
    </row>
    <row r="860">
      <c r="B860" s="69"/>
    </row>
    <row r="861">
      <c r="B861" s="69"/>
    </row>
    <row r="862">
      <c r="B862" s="69"/>
    </row>
    <row r="863">
      <c r="B863" s="69"/>
    </row>
    <row r="864">
      <c r="B864" s="69"/>
    </row>
    <row r="865">
      <c r="B865" s="69"/>
    </row>
    <row r="866">
      <c r="B866" s="69"/>
    </row>
    <row r="867">
      <c r="B867" s="69"/>
    </row>
    <row r="868">
      <c r="B868" s="69"/>
    </row>
    <row r="869">
      <c r="B869" s="69"/>
    </row>
    <row r="870">
      <c r="B870" s="69"/>
    </row>
    <row r="871">
      <c r="B871" s="69"/>
    </row>
    <row r="872">
      <c r="B872" s="69"/>
    </row>
    <row r="873">
      <c r="B873" s="69"/>
    </row>
    <row r="874">
      <c r="B874" s="69"/>
    </row>
    <row r="875">
      <c r="B875" s="69"/>
    </row>
    <row r="876">
      <c r="B876" s="69"/>
    </row>
    <row r="877">
      <c r="B877" s="69"/>
    </row>
    <row r="878">
      <c r="B878" s="69"/>
    </row>
    <row r="879">
      <c r="B879" s="69"/>
    </row>
    <row r="880">
      <c r="B880" s="69"/>
    </row>
    <row r="881">
      <c r="B881" s="69"/>
    </row>
    <row r="882">
      <c r="B882" s="69"/>
    </row>
    <row r="883">
      <c r="B883" s="69"/>
    </row>
    <row r="884">
      <c r="B884" s="69"/>
    </row>
    <row r="885">
      <c r="B885" s="69"/>
    </row>
    <row r="886">
      <c r="B886" s="69"/>
    </row>
    <row r="887">
      <c r="B887" s="69"/>
    </row>
    <row r="888">
      <c r="B888" s="69"/>
    </row>
    <row r="889">
      <c r="B889" s="69"/>
    </row>
    <row r="890">
      <c r="B890" s="69"/>
    </row>
    <row r="891">
      <c r="B891" s="69"/>
    </row>
    <row r="892">
      <c r="B892" s="69"/>
    </row>
    <row r="893">
      <c r="B893" s="69"/>
    </row>
    <row r="894">
      <c r="B894" s="69"/>
    </row>
    <row r="895">
      <c r="B895" s="69"/>
    </row>
    <row r="896">
      <c r="B896" s="69"/>
    </row>
    <row r="897">
      <c r="B897" s="69"/>
    </row>
    <row r="898">
      <c r="B898" s="69"/>
    </row>
    <row r="899">
      <c r="B899" s="69"/>
    </row>
    <row r="900">
      <c r="B900" s="69"/>
    </row>
    <row r="901">
      <c r="B901" s="69"/>
    </row>
    <row r="902">
      <c r="B902" s="69"/>
    </row>
    <row r="903">
      <c r="B903" s="69"/>
    </row>
    <row r="904">
      <c r="B904" s="69"/>
    </row>
    <row r="905">
      <c r="B905" s="69"/>
    </row>
    <row r="906">
      <c r="B906" s="69"/>
    </row>
    <row r="907">
      <c r="B907" s="69"/>
    </row>
    <row r="908">
      <c r="B908" s="69"/>
    </row>
    <row r="909">
      <c r="B909" s="69"/>
    </row>
    <row r="910">
      <c r="B910" s="69"/>
    </row>
    <row r="911">
      <c r="B911" s="69"/>
    </row>
    <row r="912">
      <c r="B912" s="69"/>
    </row>
    <row r="913">
      <c r="B913" s="69"/>
    </row>
    <row r="914">
      <c r="B914" s="69"/>
    </row>
    <row r="915">
      <c r="B915" s="69"/>
    </row>
    <row r="916">
      <c r="B916" s="69"/>
    </row>
    <row r="917">
      <c r="B917" s="69"/>
    </row>
    <row r="918">
      <c r="B918" s="69"/>
    </row>
    <row r="919">
      <c r="B919" s="69"/>
    </row>
    <row r="920">
      <c r="B920" s="69"/>
    </row>
    <row r="921">
      <c r="B921" s="69"/>
    </row>
    <row r="922">
      <c r="B922" s="69"/>
    </row>
    <row r="923">
      <c r="B923" s="69"/>
    </row>
    <row r="924">
      <c r="B924" s="69"/>
    </row>
    <row r="925">
      <c r="B925" s="69"/>
    </row>
    <row r="926">
      <c r="B926" s="69"/>
    </row>
    <row r="927">
      <c r="B927" s="69"/>
    </row>
    <row r="928">
      <c r="B928" s="69"/>
    </row>
    <row r="929">
      <c r="B929" s="69"/>
    </row>
    <row r="930">
      <c r="B930" s="69"/>
    </row>
    <row r="931">
      <c r="B931" s="69"/>
    </row>
    <row r="932">
      <c r="B932" s="69"/>
    </row>
    <row r="933">
      <c r="B933" s="69"/>
    </row>
    <row r="934">
      <c r="B934" s="69"/>
    </row>
    <row r="935">
      <c r="B935" s="69"/>
    </row>
    <row r="936">
      <c r="B936" s="69"/>
    </row>
    <row r="937">
      <c r="B937" s="69"/>
    </row>
    <row r="938">
      <c r="B938" s="69"/>
    </row>
    <row r="939">
      <c r="B939" s="69"/>
    </row>
    <row r="940">
      <c r="B940" s="69"/>
    </row>
    <row r="941">
      <c r="B941" s="69"/>
    </row>
    <row r="942">
      <c r="B942" s="69"/>
    </row>
    <row r="943">
      <c r="B943" s="69"/>
    </row>
    <row r="944">
      <c r="B944" s="69"/>
    </row>
    <row r="945">
      <c r="B945" s="69"/>
    </row>
    <row r="946">
      <c r="B946" s="69"/>
    </row>
    <row r="947">
      <c r="B947" s="69"/>
    </row>
    <row r="948">
      <c r="B948" s="69"/>
    </row>
    <row r="949">
      <c r="B949" s="69"/>
    </row>
    <row r="950">
      <c r="B950" s="69"/>
    </row>
    <row r="951">
      <c r="B951" s="69"/>
    </row>
    <row r="952">
      <c r="B952" s="69"/>
    </row>
    <row r="953">
      <c r="B953" s="69"/>
    </row>
    <row r="954">
      <c r="B954" s="69"/>
    </row>
    <row r="955">
      <c r="B955" s="69"/>
    </row>
    <row r="956">
      <c r="B956" s="69"/>
    </row>
    <row r="957">
      <c r="B957" s="69"/>
    </row>
    <row r="958">
      <c r="B958" s="69"/>
    </row>
    <row r="959">
      <c r="B959" s="69"/>
    </row>
    <row r="960">
      <c r="B960" s="69"/>
    </row>
    <row r="961">
      <c r="B961" s="69"/>
    </row>
    <row r="962">
      <c r="B962" s="69"/>
    </row>
    <row r="963">
      <c r="B963" s="69"/>
    </row>
    <row r="964">
      <c r="B964" s="69"/>
    </row>
    <row r="965">
      <c r="B965" s="69"/>
    </row>
    <row r="966">
      <c r="B966" s="69"/>
    </row>
    <row r="967">
      <c r="B967" s="69"/>
    </row>
    <row r="968">
      <c r="B968" s="69"/>
    </row>
    <row r="969">
      <c r="B969" s="69"/>
    </row>
    <row r="970">
      <c r="B970" s="69"/>
    </row>
    <row r="971">
      <c r="B971" s="69"/>
    </row>
    <row r="972">
      <c r="B972" s="69"/>
    </row>
    <row r="973">
      <c r="B973" s="69"/>
    </row>
    <row r="974">
      <c r="B974" s="69"/>
    </row>
    <row r="975">
      <c r="B975" s="69"/>
    </row>
    <row r="976">
      <c r="B976" s="69"/>
    </row>
    <row r="977">
      <c r="B977" s="69"/>
    </row>
    <row r="978">
      <c r="B978" s="69"/>
    </row>
    <row r="979">
      <c r="B979" s="69"/>
    </row>
    <row r="980">
      <c r="B980" s="69"/>
    </row>
    <row r="981">
      <c r="B981" s="69"/>
    </row>
    <row r="982">
      <c r="B982" s="69"/>
    </row>
    <row r="983">
      <c r="B983" s="69"/>
    </row>
    <row r="984">
      <c r="B984" s="69"/>
    </row>
    <row r="985">
      <c r="B985" s="69"/>
    </row>
    <row r="986">
      <c r="B986" s="69"/>
    </row>
    <row r="987">
      <c r="B987" s="69"/>
    </row>
    <row r="988">
      <c r="B988" s="69"/>
    </row>
    <row r="989">
      <c r="B989" s="69"/>
    </row>
    <row r="990">
      <c r="B990" s="69"/>
    </row>
    <row r="991">
      <c r="B991" s="69"/>
    </row>
    <row r="992">
      <c r="B992" s="69"/>
    </row>
    <row r="993">
      <c r="B993" s="69"/>
    </row>
    <row r="994">
      <c r="B994" s="69"/>
    </row>
    <row r="995">
      <c r="B995" s="69"/>
    </row>
    <row r="996">
      <c r="B996" s="69"/>
    </row>
    <row r="997">
      <c r="B997" s="69"/>
    </row>
    <row r="998">
      <c r="B998" s="69"/>
    </row>
    <row r="999">
      <c r="B999" s="69"/>
    </row>
    <row r="1000">
      <c r="B1000" s="6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18.0"/>
    <col customWidth="1" min="4" max="4" width="21.25"/>
  </cols>
  <sheetData>
    <row r="1">
      <c r="A1" s="67" t="s">
        <v>32</v>
      </c>
      <c r="B1" s="67" t="s">
        <v>99</v>
      </c>
      <c r="C1" s="67" t="s">
        <v>100</v>
      </c>
      <c r="D1" s="67" t="s">
        <v>35</v>
      </c>
      <c r="E1" s="67" t="s">
        <v>101</v>
      </c>
      <c r="F1" s="67" t="s">
        <v>102</v>
      </c>
    </row>
    <row r="2">
      <c r="A2" s="67" t="s">
        <v>43</v>
      </c>
      <c r="B2" s="67" t="s">
        <v>103</v>
      </c>
      <c r="C2" s="67" t="s">
        <v>103</v>
      </c>
      <c r="D2" s="67" t="s">
        <v>50</v>
      </c>
      <c r="E2" s="67" t="s">
        <v>104</v>
      </c>
      <c r="F2" s="67" t="s">
        <v>105</v>
      </c>
    </row>
    <row r="3">
      <c r="A3" s="67" t="s">
        <v>72</v>
      </c>
      <c r="B3" s="67" t="s">
        <v>106</v>
      </c>
      <c r="C3" s="67" t="s">
        <v>106</v>
      </c>
      <c r="D3" s="67" t="s">
        <v>50</v>
      </c>
      <c r="E3" s="67" t="s">
        <v>107</v>
      </c>
      <c r="F3" s="67" t="s">
        <v>105</v>
      </c>
    </row>
    <row r="4">
      <c r="A4" s="67" t="s">
        <v>67</v>
      </c>
      <c r="B4" s="67" t="s">
        <v>108</v>
      </c>
      <c r="C4" s="67" t="s">
        <v>108</v>
      </c>
      <c r="D4" s="67" t="s">
        <v>50</v>
      </c>
      <c r="E4" s="67" t="s">
        <v>104</v>
      </c>
      <c r="F4" s="67" t="s">
        <v>105</v>
      </c>
    </row>
    <row r="5">
      <c r="A5" s="67" t="s">
        <v>109</v>
      </c>
      <c r="B5" s="67" t="s">
        <v>110</v>
      </c>
      <c r="C5" s="67" t="s">
        <v>110</v>
      </c>
      <c r="D5" s="67" t="s">
        <v>50</v>
      </c>
      <c r="E5" s="67" t="s">
        <v>111</v>
      </c>
      <c r="F5" s="67" t="s">
        <v>105</v>
      </c>
    </row>
    <row r="6">
      <c r="A6" s="67" t="s">
        <v>112</v>
      </c>
      <c r="B6" s="67" t="s">
        <v>113</v>
      </c>
      <c r="C6" s="67" t="s">
        <v>113</v>
      </c>
      <c r="D6" s="67" t="s">
        <v>50</v>
      </c>
      <c r="E6" s="67" t="s">
        <v>104</v>
      </c>
      <c r="F6" s="67" t="s">
        <v>105</v>
      </c>
    </row>
    <row r="7">
      <c r="A7" s="67" t="s">
        <v>114</v>
      </c>
      <c r="B7" s="67" t="s">
        <v>115</v>
      </c>
      <c r="C7" s="67" t="s">
        <v>115</v>
      </c>
      <c r="D7" s="67" t="s">
        <v>50</v>
      </c>
      <c r="E7" s="67" t="s">
        <v>104</v>
      </c>
      <c r="F7" s="67" t="s">
        <v>105</v>
      </c>
    </row>
    <row r="8">
      <c r="A8" s="67" t="s">
        <v>116</v>
      </c>
      <c r="B8" s="67" t="s">
        <v>117</v>
      </c>
      <c r="C8" s="67" t="s">
        <v>117</v>
      </c>
      <c r="D8" s="67" t="s">
        <v>50</v>
      </c>
      <c r="E8" s="67" t="s">
        <v>104</v>
      </c>
      <c r="F8" s="67" t="s">
        <v>105</v>
      </c>
    </row>
    <row r="9">
      <c r="A9" s="67" t="s">
        <v>118</v>
      </c>
      <c r="B9" s="67" t="s">
        <v>119</v>
      </c>
      <c r="C9" s="67" t="s">
        <v>119</v>
      </c>
      <c r="D9" s="67" t="s">
        <v>50</v>
      </c>
      <c r="E9" s="67" t="s">
        <v>104</v>
      </c>
      <c r="F9" s="67" t="s">
        <v>105</v>
      </c>
    </row>
    <row r="10">
      <c r="A10" s="67" t="s">
        <v>120</v>
      </c>
      <c r="B10" s="67" t="s">
        <v>121</v>
      </c>
      <c r="C10" s="67" t="s">
        <v>121</v>
      </c>
      <c r="D10" s="67" t="s">
        <v>50</v>
      </c>
      <c r="E10" s="67" t="s">
        <v>104</v>
      </c>
      <c r="F10" s="67" t="s">
        <v>105</v>
      </c>
    </row>
    <row r="11">
      <c r="A11" s="67" t="s">
        <v>122</v>
      </c>
      <c r="B11" s="67" t="s">
        <v>113</v>
      </c>
      <c r="C11" s="67" t="s">
        <v>123</v>
      </c>
      <c r="D11" s="67" t="s">
        <v>50</v>
      </c>
      <c r="E11" s="67" t="s">
        <v>104</v>
      </c>
      <c r="F11" s="67" t="s">
        <v>105</v>
      </c>
    </row>
    <row r="12">
      <c r="A12" s="67" t="s">
        <v>124</v>
      </c>
      <c r="B12" s="67" t="s">
        <v>113</v>
      </c>
      <c r="C12" s="67" t="s">
        <v>113</v>
      </c>
      <c r="D12" s="67" t="s">
        <v>50</v>
      </c>
      <c r="E12" s="67" t="s">
        <v>104</v>
      </c>
      <c r="F12" s="67" t="s">
        <v>105</v>
      </c>
    </row>
    <row r="13">
      <c r="A13" s="67" t="s">
        <v>125</v>
      </c>
      <c r="B13" s="67" t="s">
        <v>113</v>
      </c>
      <c r="C13" s="67" t="s">
        <v>113</v>
      </c>
      <c r="D13" s="67" t="s">
        <v>50</v>
      </c>
      <c r="E13" s="67" t="s">
        <v>126</v>
      </c>
      <c r="F13" s="67" t="s">
        <v>105</v>
      </c>
    </row>
    <row r="14">
      <c r="A14" s="67" t="s">
        <v>127</v>
      </c>
      <c r="B14" s="67" t="s">
        <v>128</v>
      </c>
      <c r="C14" s="67" t="s">
        <v>128</v>
      </c>
      <c r="D14" s="67" t="s">
        <v>50</v>
      </c>
      <c r="E14" s="67" t="s">
        <v>104</v>
      </c>
      <c r="F14" s="67" t="s">
        <v>105</v>
      </c>
    </row>
    <row r="15">
      <c r="A15" s="67" t="s">
        <v>129</v>
      </c>
      <c r="B15" s="67" t="s">
        <v>113</v>
      </c>
      <c r="C15" s="67" t="s">
        <v>113</v>
      </c>
      <c r="D15" s="67" t="s">
        <v>50</v>
      </c>
      <c r="E15" s="67" t="s">
        <v>104</v>
      </c>
      <c r="F15" s="67" t="s">
        <v>105</v>
      </c>
    </row>
    <row r="16">
      <c r="A16" s="67" t="s">
        <v>130</v>
      </c>
      <c r="B16" s="67" t="s">
        <v>131</v>
      </c>
      <c r="C16" s="67" t="s">
        <v>131</v>
      </c>
      <c r="D16" s="67" t="s">
        <v>50</v>
      </c>
      <c r="E16" s="67" t="s">
        <v>111</v>
      </c>
      <c r="F16" s="67" t="s">
        <v>105</v>
      </c>
    </row>
    <row r="17">
      <c r="A17" s="67" t="s">
        <v>132</v>
      </c>
      <c r="B17" s="67" t="s">
        <v>113</v>
      </c>
      <c r="C17" s="67" t="s">
        <v>113</v>
      </c>
      <c r="D17" s="67" t="s">
        <v>50</v>
      </c>
      <c r="E17" s="67" t="s">
        <v>104</v>
      </c>
      <c r="F17" s="67" t="s">
        <v>105</v>
      </c>
    </row>
    <row r="18">
      <c r="A18" s="67" t="s">
        <v>133</v>
      </c>
      <c r="B18" s="67" t="s">
        <v>113</v>
      </c>
      <c r="C18" s="67" t="s">
        <v>113</v>
      </c>
      <c r="D18" s="67" t="s">
        <v>50</v>
      </c>
      <c r="E18" s="67" t="s">
        <v>104</v>
      </c>
      <c r="F18" s="67" t="s">
        <v>105</v>
      </c>
    </row>
    <row r="19">
      <c r="A19" s="67" t="s">
        <v>134</v>
      </c>
      <c r="B19" s="67" t="s">
        <v>135</v>
      </c>
      <c r="C19" s="67" t="s">
        <v>135</v>
      </c>
      <c r="D19" s="67" t="s">
        <v>50</v>
      </c>
      <c r="E19" s="67" t="s">
        <v>104</v>
      </c>
      <c r="F19" s="67" t="s">
        <v>105</v>
      </c>
    </row>
    <row r="20">
      <c r="A20" s="67" t="s">
        <v>136</v>
      </c>
      <c r="B20" s="67" t="s">
        <v>137</v>
      </c>
      <c r="C20" s="67" t="s">
        <v>138</v>
      </c>
      <c r="D20" s="67" t="s">
        <v>50</v>
      </c>
      <c r="E20" s="67" t="s">
        <v>111</v>
      </c>
      <c r="F20" s="67" t="s">
        <v>105</v>
      </c>
    </row>
    <row r="21">
      <c r="A21" s="67" t="s">
        <v>139</v>
      </c>
      <c r="B21" s="67" t="s">
        <v>140</v>
      </c>
      <c r="C21" s="67" t="s">
        <v>115</v>
      </c>
      <c r="D21" s="67" t="s">
        <v>50</v>
      </c>
      <c r="E21" s="67" t="s">
        <v>104</v>
      </c>
      <c r="F21" s="67" t="s">
        <v>105</v>
      </c>
    </row>
    <row r="22">
      <c r="A22" s="67" t="s">
        <v>141</v>
      </c>
      <c r="B22" s="67" t="s">
        <v>142</v>
      </c>
      <c r="C22" s="67" t="s">
        <v>108</v>
      </c>
      <c r="D22" s="67" t="s">
        <v>50</v>
      </c>
      <c r="E22" s="67" t="s">
        <v>111</v>
      </c>
      <c r="F22" s="67" t="s">
        <v>105</v>
      </c>
    </row>
    <row r="23">
      <c r="A23" s="67" t="s">
        <v>143</v>
      </c>
      <c r="B23" s="67" t="s">
        <v>144</v>
      </c>
      <c r="C23" s="67" t="s">
        <v>145</v>
      </c>
      <c r="D23" s="67" t="s">
        <v>50</v>
      </c>
      <c r="E23" s="67" t="s">
        <v>104</v>
      </c>
      <c r="F23" s="67" t="s">
        <v>105</v>
      </c>
    </row>
    <row r="24">
      <c r="A24" s="67" t="s">
        <v>146</v>
      </c>
      <c r="B24" s="67" t="s">
        <v>140</v>
      </c>
      <c r="C24" s="67" t="s">
        <v>147</v>
      </c>
      <c r="D24" s="67" t="s">
        <v>50</v>
      </c>
      <c r="E24" s="67" t="s">
        <v>148</v>
      </c>
      <c r="F24" s="67" t="s">
        <v>105</v>
      </c>
    </row>
    <row r="25">
      <c r="A25" s="67" t="s">
        <v>149</v>
      </c>
      <c r="B25" s="67" t="s">
        <v>144</v>
      </c>
      <c r="C25" s="67" t="s">
        <v>123</v>
      </c>
      <c r="D25" s="67" t="s">
        <v>50</v>
      </c>
      <c r="E25" s="67" t="s">
        <v>104</v>
      </c>
      <c r="F25" s="67" t="s">
        <v>105</v>
      </c>
    </row>
    <row r="26">
      <c r="A26" s="67" t="s">
        <v>58</v>
      </c>
      <c r="B26" s="67" t="s">
        <v>121</v>
      </c>
      <c r="C26" s="67" t="s">
        <v>121</v>
      </c>
      <c r="D26" s="67" t="s">
        <v>50</v>
      </c>
      <c r="E26" s="67" t="s">
        <v>104</v>
      </c>
      <c r="F26" s="67" t="s">
        <v>150</v>
      </c>
    </row>
    <row r="27">
      <c r="A27" s="67" t="s">
        <v>151</v>
      </c>
      <c r="B27" s="67" t="s">
        <v>128</v>
      </c>
      <c r="C27" s="67" t="s">
        <v>128</v>
      </c>
      <c r="D27" s="67" t="s">
        <v>50</v>
      </c>
      <c r="E27" s="67" t="s">
        <v>104</v>
      </c>
      <c r="F27" s="67" t="s">
        <v>150</v>
      </c>
    </row>
    <row r="28">
      <c r="A28" s="67" t="s">
        <v>46</v>
      </c>
      <c r="B28" s="67" t="s">
        <v>152</v>
      </c>
      <c r="C28" s="67" t="s">
        <v>152</v>
      </c>
      <c r="D28" s="67" t="s">
        <v>50</v>
      </c>
      <c r="E28" s="67" t="s">
        <v>153</v>
      </c>
      <c r="F28" s="67" t="s">
        <v>150</v>
      </c>
    </row>
    <row r="29">
      <c r="A29" s="67" t="s">
        <v>154</v>
      </c>
      <c r="B29" s="67" t="s">
        <v>113</v>
      </c>
      <c r="C29" s="67" t="s">
        <v>113</v>
      </c>
      <c r="D29" s="67" t="s">
        <v>50</v>
      </c>
      <c r="E29" s="67" t="s">
        <v>104</v>
      </c>
      <c r="F29" s="67" t="s">
        <v>150</v>
      </c>
    </row>
    <row r="30">
      <c r="A30" s="67" t="s">
        <v>155</v>
      </c>
      <c r="B30" s="67" t="s">
        <v>156</v>
      </c>
      <c r="C30" s="67" t="s">
        <v>156</v>
      </c>
      <c r="D30" s="67" t="s">
        <v>50</v>
      </c>
      <c r="E30" s="67" t="s">
        <v>104</v>
      </c>
      <c r="F30" s="67" t="s">
        <v>150</v>
      </c>
    </row>
    <row r="31">
      <c r="A31" s="67" t="s">
        <v>70</v>
      </c>
      <c r="B31" s="67" t="s">
        <v>157</v>
      </c>
      <c r="C31" s="67" t="s">
        <v>157</v>
      </c>
      <c r="D31" s="67" t="s">
        <v>50</v>
      </c>
      <c r="E31" s="67" t="s">
        <v>158</v>
      </c>
      <c r="F31" s="67" t="s">
        <v>150</v>
      </c>
    </row>
    <row r="32">
      <c r="A32" s="67" t="s">
        <v>159</v>
      </c>
      <c r="B32" s="67" t="s">
        <v>113</v>
      </c>
      <c r="C32" s="67" t="s">
        <v>113</v>
      </c>
      <c r="D32" s="67" t="s">
        <v>50</v>
      </c>
      <c r="E32" s="67" t="s">
        <v>104</v>
      </c>
      <c r="F32" s="67" t="s">
        <v>150</v>
      </c>
    </row>
    <row r="33">
      <c r="A33" s="67" t="s">
        <v>79</v>
      </c>
      <c r="B33" s="67" t="s">
        <v>147</v>
      </c>
      <c r="C33" s="67" t="s">
        <v>147</v>
      </c>
      <c r="D33" s="67" t="s">
        <v>50</v>
      </c>
      <c r="E33" s="67" t="s">
        <v>104</v>
      </c>
      <c r="F33" s="67" t="s">
        <v>150</v>
      </c>
    </row>
    <row r="34">
      <c r="A34" s="67" t="s">
        <v>160</v>
      </c>
      <c r="B34" s="67" t="s">
        <v>161</v>
      </c>
      <c r="C34" s="67" t="s">
        <v>161</v>
      </c>
      <c r="D34" s="67" t="s">
        <v>50</v>
      </c>
      <c r="E34" s="67" t="s">
        <v>104</v>
      </c>
      <c r="F34" s="67" t="s">
        <v>150</v>
      </c>
    </row>
    <row r="35">
      <c r="A35" s="67" t="s">
        <v>162</v>
      </c>
      <c r="B35" s="67" t="s">
        <v>163</v>
      </c>
      <c r="C35" s="67" t="s">
        <v>163</v>
      </c>
      <c r="D35" s="67" t="s">
        <v>50</v>
      </c>
      <c r="E35" s="67" t="s">
        <v>104</v>
      </c>
      <c r="F35" s="67" t="s">
        <v>150</v>
      </c>
    </row>
    <row r="36">
      <c r="A36" s="67" t="s">
        <v>164</v>
      </c>
      <c r="B36" s="67" t="s">
        <v>165</v>
      </c>
      <c r="C36" s="67" t="s">
        <v>165</v>
      </c>
      <c r="D36" s="67" t="s">
        <v>50</v>
      </c>
      <c r="E36" s="67" t="s">
        <v>104</v>
      </c>
      <c r="F36" s="67" t="s">
        <v>150</v>
      </c>
    </row>
    <row r="37">
      <c r="A37" s="67" t="s">
        <v>166</v>
      </c>
      <c r="B37" s="67" t="s">
        <v>157</v>
      </c>
      <c r="C37" s="67" t="s">
        <v>157</v>
      </c>
      <c r="D37" s="67" t="s">
        <v>50</v>
      </c>
      <c r="E37" s="67" t="s">
        <v>153</v>
      </c>
      <c r="F37" s="67" t="s">
        <v>150</v>
      </c>
    </row>
    <row r="38">
      <c r="A38" s="67" t="s">
        <v>167</v>
      </c>
      <c r="B38" s="67" t="s">
        <v>128</v>
      </c>
      <c r="C38" s="67" t="s">
        <v>128</v>
      </c>
      <c r="D38" s="67" t="s">
        <v>50</v>
      </c>
      <c r="E38" s="67" t="s">
        <v>104</v>
      </c>
      <c r="F38" s="67" t="s">
        <v>150</v>
      </c>
    </row>
    <row r="39">
      <c r="A39" s="67" t="s">
        <v>168</v>
      </c>
      <c r="B39" s="67" t="s">
        <v>113</v>
      </c>
      <c r="C39" s="67" t="s">
        <v>113</v>
      </c>
      <c r="D39" s="67" t="s">
        <v>50</v>
      </c>
      <c r="E39" s="67" t="s">
        <v>104</v>
      </c>
      <c r="F39" s="67" t="s">
        <v>150</v>
      </c>
    </row>
    <row r="40">
      <c r="A40" s="67" t="s">
        <v>169</v>
      </c>
      <c r="B40" s="67" t="s">
        <v>170</v>
      </c>
      <c r="C40" s="67" t="s">
        <v>170</v>
      </c>
      <c r="D40" s="67" t="s">
        <v>50</v>
      </c>
      <c r="E40" s="67" t="s">
        <v>104</v>
      </c>
      <c r="F40" s="67" t="s">
        <v>150</v>
      </c>
    </row>
    <row r="41">
      <c r="A41" s="67" t="s">
        <v>171</v>
      </c>
      <c r="B41" s="67" t="s">
        <v>140</v>
      </c>
      <c r="C41" s="67" t="s">
        <v>115</v>
      </c>
      <c r="D41" s="67" t="s">
        <v>50</v>
      </c>
      <c r="E41" s="67" t="s">
        <v>107</v>
      </c>
      <c r="F41" s="67" t="s">
        <v>150</v>
      </c>
    </row>
    <row r="42">
      <c r="A42" s="67" t="s">
        <v>172</v>
      </c>
      <c r="B42" s="67" t="s">
        <v>137</v>
      </c>
      <c r="C42" s="67" t="s">
        <v>128</v>
      </c>
      <c r="D42" s="67" t="s">
        <v>50</v>
      </c>
      <c r="E42" s="67" t="s">
        <v>158</v>
      </c>
      <c r="F42" s="67" t="s">
        <v>150</v>
      </c>
    </row>
    <row r="43">
      <c r="A43" s="67" t="s">
        <v>173</v>
      </c>
      <c r="B43" s="67" t="s">
        <v>144</v>
      </c>
      <c r="C43" s="67" t="s">
        <v>113</v>
      </c>
      <c r="D43" s="67" t="s">
        <v>50</v>
      </c>
      <c r="E43" s="67" t="s">
        <v>104</v>
      </c>
      <c r="F43" s="67" t="s">
        <v>150</v>
      </c>
    </row>
    <row r="44">
      <c r="A44" s="67" t="s">
        <v>174</v>
      </c>
      <c r="B44" s="67" t="s">
        <v>144</v>
      </c>
      <c r="C44" s="67" t="s">
        <v>175</v>
      </c>
      <c r="D44" s="67" t="s">
        <v>50</v>
      </c>
      <c r="E44" s="67" t="s">
        <v>104</v>
      </c>
      <c r="F44" s="67" t="s">
        <v>150</v>
      </c>
    </row>
    <row r="45">
      <c r="A45" s="67" t="s">
        <v>176</v>
      </c>
      <c r="B45" s="67" t="s">
        <v>144</v>
      </c>
      <c r="C45" s="67" t="s">
        <v>113</v>
      </c>
      <c r="D45" s="67" t="s">
        <v>50</v>
      </c>
      <c r="E45" s="67" t="s">
        <v>104</v>
      </c>
      <c r="F45" s="67" t="s">
        <v>150</v>
      </c>
    </row>
    <row r="46">
      <c r="A46" s="67" t="s">
        <v>177</v>
      </c>
      <c r="B46" s="67" t="s">
        <v>178</v>
      </c>
      <c r="C46" s="67" t="s">
        <v>179</v>
      </c>
      <c r="D46" s="67" t="s">
        <v>50</v>
      </c>
      <c r="E46" s="67" t="s">
        <v>153</v>
      </c>
      <c r="F46" s="67" t="s">
        <v>150</v>
      </c>
    </row>
    <row r="47">
      <c r="A47" s="67" t="s">
        <v>180</v>
      </c>
      <c r="B47" s="67" t="s">
        <v>144</v>
      </c>
      <c r="C47" s="67" t="s">
        <v>110</v>
      </c>
      <c r="D47" s="67" t="s">
        <v>50</v>
      </c>
      <c r="E47" s="67" t="s">
        <v>104</v>
      </c>
      <c r="F47" s="67" t="s">
        <v>150</v>
      </c>
    </row>
    <row r="48">
      <c r="A48" s="67" t="s">
        <v>181</v>
      </c>
      <c r="B48" s="67" t="s">
        <v>182</v>
      </c>
      <c r="C48" s="67" t="s">
        <v>183</v>
      </c>
      <c r="D48" s="67" t="s">
        <v>50</v>
      </c>
      <c r="E48" s="67" t="s">
        <v>184</v>
      </c>
      <c r="F48" s="67" t="s">
        <v>150</v>
      </c>
    </row>
    <row r="49">
      <c r="A49" s="67" t="s">
        <v>185</v>
      </c>
      <c r="B49" s="67" t="s">
        <v>144</v>
      </c>
      <c r="C49" s="67" t="s">
        <v>113</v>
      </c>
      <c r="D49" s="67" t="s">
        <v>50</v>
      </c>
      <c r="E49" s="67" t="s">
        <v>104</v>
      </c>
      <c r="F49" s="67" t="s">
        <v>150</v>
      </c>
    </row>
    <row r="50">
      <c r="A50" s="67" t="s">
        <v>186</v>
      </c>
      <c r="B50" s="67" t="s">
        <v>187</v>
      </c>
      <c r="C50" s="67" t="s">
        <v>187</v>
      </c>
      <c r="D50" s="67" t="s">
        <v>188</v>
      </c>
      <c r="E50" s="67" t="s">
        <v>153</v>
      </c>
      <c r="F50" s="67" t="s">
        <v>150</v>
      </c>
    </row>
    <row r="51">
      <c r="A51" s="67" t="s">
        <v>189</v>
      </c>
      <c r="B51" s="67" t="s">
        <v>187</v>
      </c>
      <c r="C51" s="67" t="s">
        <v>187</v>
      </c>
      <c r="D51" s="67" t="s">
        <v>188</v>
      </c>
      <c r="E51" s="67" t="s">
        <v>190</v>
      </c>
      <c r="F51" s="67" t="s">
        <v>150</v>
      </c>
    </row>
    <row r="52">
      <c r="A52" s="67" t="s">
        <v>73</v>
      </c>
      <c r="B52" s="67" t="s">
        <v>106</v>
      </c>
      <c r="C52" s="67" t="s">
        <v>106</v>
      </c>
      <c r="D52" s="67" t="s">
        <v>191</v>
      </c>
      <c r="E52" s="67" t="s">
        <v>104</v>
      </c>
      <c r="F52" s="67" t="s">
        <v>192</v>
      </c>
    </row>
    <row r="53">
      <c r="A53" s="67" t="s">
        <v>193</v>
      </c>
      <c r="B53" s="67" t="s">
        <v>194</v>
      </c>
      <c r="C53" s="67" t="s">
        <v>194</v>
      </c>
      <c r="D53" s="67" t="s">
        <v>191</v>
      </c>
      <c r="E53" s="67" t="s">
        <v>158</v>
      </c>
      <c r="F53" s="67" t="s">
        <v>192</v>
      </c>
    </row>
    <row r="54">
      <c r="A54" s="67" t="s">
        <v>195</v>
      </c>
      <c r="B54" s="67" t="s">
        <v>196</v>
      </c>
      <c r="C54" s="67" t="s">
        <v>196</v>
      </c>
      <c r="D54" s="67" t="s">
        <v>191</v>
      </c>
      <c r="E54" s="67" t="s">
        <v>153</v>
      </c>
      <c r="F54" s="67" t="s">
        <v>192</v>
      </c>
    </row>
    <row r="55">
      <c r="A55" s="67" t="s">
        <v>197</v>
      </c>
      <c r="B55" s="67" t="s">
        <v>131</v>
      </c>
      <c r="C55" s="67" t="s">
        <v>131</v>
      </c>
      <c r="D55" s="67" t="s">
        <v>191</v>
      </c>
      <c r="E55" s="67" t="s">
        <v>104</v>
      </c>
      <c r="F55" s="67" t="s">
        <v>192</v>
      </c>
    </row>
    <row r="56">
      <c r="A56" s="67" t="s">
        <v>98</v>
      </c>
      <c r="B56" s="67" t="s">
        <v>147</v>
      </c>
      <c r="C56" s="67" t="s">
        <v>147</v>
      </c>
      <c r="D56" s="67" t="s">
        <v>191</v>
      </c>
      <c r="E56" s="67" t="s">
        <v>111</v>
      </c>
      <c r="F56" s="67" t="s">
        <v>192</v>
      </c>
    </row>
    <row r="57">
      <c r="A57" s="67" t="s">
        <v>198</v>
      </c>
      <c r="B57" s="67" t="s">
        <v>199</v>
      </c>
      <c r="C57" s="67" t="s">
        <v>199</v>
      </c>
      <c r="D57" s="67" t="s">
        <v>191</v>
      </c>
      <c r="E57" s="67" t="s">
        <v>104</v>
      </c>
      <c r="F57" s="67" t="s">
        <v>192</v>
      </c>
    </row>
    <row r="58">
      <c r="A58" s="67" t="s">
        <v>200</v>
      </c>
      <c r="B58" s="67" t="s">
        <v>113</v>
      </c>
      <c r="C58" s="67" t="s">
        <v>113</v>
      </c>
      <c r="D58" s="67" t="s">
        <v>191</v>
      </c>
      <c r="E58" s="67" t="s">
        <v>104</v>
      </c>
      <c r="F58" s="67" t="s">
        <v>192</v>
      </c>
    </row>
    <row r="59">
      <c r="A59" s="67" t="s">
        <v>201</v>
      </c>
      <c r="B59" s="67" t="s">
        <v>113</v>
      </c>
      <c r="C59" s="67" t="s">
        <v>113</v>
      </c>
      <c r="D59" s="67" t="s">
        <v>191</v>
      </c>
      <c r="E59" s="67" t="s">
        <v>104</v>
      </c>
      <c r="F59" s="67" t="s">
        <v>192</v>
      </c>
    </row>
    <row r="60">
      <c r="A60" s="67" t="s">
        <v>202</v>
      </c>
      <c r="B60" s="67" t="s">
        <v>203</v>
      </c>
      <c r="C60" s="67" t="s">
        <v>203</v>
      </c>
      <c r="D60" s="67" t="s">
        <v>191</v>
      </c>
      <c r="E60" s="67" t="s">
        <v>104</v>
      </c>
      <c r="F60" s="67" t="s">
        <v>192</v>
      </c>
    </row>
    <row r="61">
      <c r="A61" s="67" t="s">
        <v>204</v>
      </c>
      <c r="B61" s="67" t="s">
        <v>205</v>
      </c>
      <c r="C61" s="67" t="s">
        <v>205</v>
      </c>
      <c r="D61" s="67" t="s">
        <v>191</v>
      </c>
      <c r="E61" s="67" t="s">
        <v>104</v>
      </c>
      <c r="F61" s="67" t="s">
        <v>192</v>
      </c>
    </row>
    <row r="62">
      <c r="A62" s="67" t="s">
        <v>74</v>
      </c>
      <c r="B62" s="67" t="s">
        <v>161</v>
      </c>
      <c r="C62" s="67" t="s">
        <v>161</v>
      </c>
      <c r="D62" s="67" t="s">
        <v>191</v>
      </c>
      <c r="E62" s="67" t="s">
        <v>104</v>
      </c>
      <c r="F62" s="67" t="s">
        <v>192</v>
      </c>
    </row>
    <row r="63">
      <c r="A63" s="67" t="s">
        <v>206</v>
      </c>
      <c r="B63" s="67" t="s">
        <v>207</v>
      </c>
      <c r="C63" s="67" t="s">
        <v>207</v>
      </c>
      <c r="D63" s="67" t="s">
        <v>191</v>
      </c>
      <c r="E63" s="67" t="s">
        <v>190</v>
      </c>
      <c r="F63" s="67" t="s">
        <v>192</v>
      </c>
    </row>
    <row r="64">
      <c r="A64" s="67" t="s">
        <v>208</v>
      </c>
      <c r="B64" s="67" t="s">
        <v>194</v>
      </c>
      <c r="C64" s="67" t="s">
        <v>194</v>
      </c>
      <c r="D64" s="67" t="s">
        <v>191</v>
      </c>
      <c r="E64" s="67" t="s">
        <v>104</v>
      </c>
      <c r="F64" s="67" t="s">
        <v>192</v>
      </c>
    </row>
    <row r="65">
      <c r="A65" s="67" t="s">
        <v>8</v>
      </c>
      <c r="B65" s="67" t="s">
        <v>209</v>
      </c>
      <c r="C65" s="67" t="s">
        <v>209</v>
      </c>
      <c r="D65" s="67" t="s">
        <v>191</v>
      </c>
      <c r="E65" s="67" t="s">
        <v>190</v>
      </c>
      <c r="F65" s="67" t="s">
        <v>192</v>
      </c>
    </row>
    <row r="66">
      <c r="A66" s="67" t="s">
        <v>210</v>
      </c>
      <c r="B66" s="67" t="s">
        <v>211</v>
      </c>
      <c r="C66" s="67" t="s">
        <v>211</v>
      </c>
      <c r="D66" s="67" t="s">
        <v>191</v>
      </c>
      <c r="E66" s="67" t="s">
        <v>212</v>
      </c>
      <c r="F66" s="67" t="s">
        <v>192</v>
      </c>
    </row>
    <row r="67">
      <c r="A67" s="67" t="s">
        <v>213</v>
      </c>
      <c r="B67" s="67" t="s">
        <v>128</v>
      </c>
      <c r="C67" s="67" t="s">
        <v>128</v>
      </c>
      <c r="D67" s="67" t="s">
        <v>191</v>
      </c>
      <c r="E67" s="67" t="s">
        <v>104</v>
      </c>
      <c r="F67" s="67" t="s">
        <v>192</v>
      </c>
    </row>
    <row r="68">
      <c r="A68" s="67" t="s">
        <v>214</v>
      </c>
      <c r="B68" s="67" t="s">
        <v>137</v>
      </c>
      <c r="C68" s="67" t="s">
        <v>128</v>
      </c>
      <c r="D68" s="67" t="s">
        <v>50</v>
      </c>
      <c r="E68" s="67" t="s">
        <v>190</v>
      </c>
      <c r="F68" s="67" t="s">
        <v>192</v>
      </c>
    </row>
    <row r="69">
      <c r="A69" s="67" t="s">
        <v>215</v>
      </c>
      <c r="B69" s="67" t="s">
        <v>140</v>
      </c>
      <c r="C69" s="67" t="s">
        <v>216</v>
      </c>
      <c r="D69" s="67" t="s">
        <v>50</v>
      </c>
      <c r="E69" s="67" t="s">
        <v>104</v>
      </c>
      <c r="F69" s="67" t="s">
        <v>192</v>
      </c>
    </row>
    <row r="70">
      <c r="A70" s="67" t="s">
        <v>217</v>
      </c>
      <c r="B70" s="67" t="s">
        <v>218</v>
      </c>
      <c r="C70" s="67" t="s">
        <v>219</v>
      </c>
      <c r="D70" s="67" t="s">
        <v>50</v>
      </c>
      <c r="E70" s="67" t="s">
        <v>104</v>
      </c>
      <c r="F70" s="67" t="s">
        <v>192</v>
      </c>
    </row>
    <row r="71">
      <c r="A71" s="67" t="s">
        <v>220</v>
      </c>
      <c r="B71" s="67" t="s">
        <v>144</v>
      </c>
      <c r="C71" s="67" t="s">
        <v>221</v>
      </c>
      <c r="D71" s="67" t="s">
        <v>50</v>
      </c>
      <c r="E71" s="67" t="s">
        <v>104</v>
      </c>
      <c r="F71" s="67" t="s">
        <v>192</v>
      </c>
    </row>
    <row r="72">
      <c r="A72" s="67" t="s">
        <v>222</v>
      </c>
      <c r="B72" s="67" t="s">
        <v>144</v>
      </c>
      <c r="C72" s="67" t="s">
        <v>223</v>
      </c>
      <c r="D72" s="67" t="s">
        <v>50</v>
      </c>
      <c r="E72" s="67" t="s">
        <v>104</v>
      </c>
      <c r="F72" s="67" t="s">
        <v>192</v>
      </c>
    </row>
    <row r="73">
      <c r="A73" s="67" t="s">
        <v>224</v>
      </c>
      <c r="B73" s="67" t="s">
        <v>144</v>
      </c>
      <c r="C73" s="67" t="s">
        <v>113</v>
      </c>
      <c r="D73" s="67" t="s">
        <v>50</v>
      </c>
      <c r="E73" s="67" t="s">
        <v>104</v>
      </c>
      <c r="F73" s="67" t="s">
        <v>192</v>
      </c>
    </row>
    <row r="74">
      <c r="A74" s="67" t="s">
        <v>225</v>
      </c>
      <c r="B74" s="67" t="s">
        <v>137</v>
      </c>
      <c r="C74" s="67" t="s">
        <v>226</v>
      </c>
      <c r="D74" s="67" t="s">
        <v>50</v>
      </c>
      <c r="E74" s="67" t="s">
        <v>153</v>
      </c>
      <c r="F74" s="67" t="s">
        <v>192</v>
      </c>
    </row>
    <row r="75">
      <c r="A75" s="67" t="s">
        <v>227</v>
      </c>
      <c r="B75" s="67" t="s">
        <v>144</v>
      </c>
      <c r="C75" s="67" t="s">
        <v>228</v>
      </c>
      <c r="D75" s="67" t="s">
        <v>50</v>
      </c>
      <c r="E75" s="67" t="s">
        <v>104</v>
      </c>
      <c r="F75" s="67" t="s">
        <v>192</v>
      </c>
    </row>
    <row r="76">
      <c r="A76" s="67" t="s">
        <v>229</v>
      </c>
      <c r="B76" s="67" t="s">
        <v>230</v>
      </c>
      <c r="C76" s="67" t="s">
        <v>230</v>
      </c>
      <c r="D76" s="67" t="s">
        <v>191</v>
      </c>
      <c r="E76" s="67" t="s">
        <v>104</v>
      </c>
      <c r="F76" s="67" t="s">
        <v>231</v>
      </c>
    </row>
    <row r="77">
      <c r="A77" s="67" t="s">
        <v>75</v>
      </c>
      <c r="B77" s="67" t="s">
        <v>106</v>
      </c>
      <c r="C77" s="67" t="s">
        <v>106</v>
      </c>
      <c r="D77" s="67" t="s">
        <v>191</v>
      </c>
      <c r="E77" s="67" t="s">
        <v>104</v>
      </c>
      <c r="F77" s="67" t="s">
        <v>231</v>
      </c>
    </row>
    <row r="78">
      <c r="A78" s="67" t="s">
        <v>232</v>
      </c>
      <c r="B78" s="67" t="s">
        <v>233</v>
      </c>
      <c r="C78" s="67" t="s">
        <v>233</v>
      </c>
      <c r="D78" s="67" t="s">
        <v>191</v>
      </c>
      <c r="E78" s="67" t="s">
        <v>104</v>
      </c>
      <c r="F78" s="67" t="s">
        <v>231</v>
      </c>
    </row>
    <row r="79">
      <c r="A79" s="67" t="s">
        <v>234</v>
      </c>
      <c r="B79" s="67" t="s">
        <v>128</v>
      </c>
      <c r="C79" s="67" t="s">
        <v>128</v>
      </c>
      <c r="D79" s="67" t="s">
        <v>191</v>
      </c>
      <c r="E79" s="67" t="s">
        <v>190</v>
      </c>
      <c r="F79" s="67" t="s">
        <v>231</v>
      </c>
    </row>
    <row r="80">
      <c r="A80" s="67" t="s">
        <v>63</v>
      </c>
      <c r="B80" s="67" t="s">
        <v>117</v>
      </c>
      <c r="C80" s="67" t="s">
        <v>117</v>
      </c>
      <c r="D80" s="67" t="s">
        <v>191</v>
      </c>
      <c r="E80" s="67" t="s">
        <v>184</v>
      </c>
      <c r="F80" s="67" t="s">
        <v>231</v>
      </c>
    </row>
    <row r="81">
      <c r="A81" s="67" t="s">
        <v>235</v>
      </c>
      <c r="B81" s="67" t="s">
        <v>113</v>
      </c>
      <c r="C81" s="67" t="s">
        <v>113</v>
      </c>
      <c r="D81" s="67" t="s">
        <v>191</v>
      </c>
      <c r="E81" s="67" t="s">
        <v>104</v>
      </c>
      <c r="F81" s="67" t="s">
        <v>231</v>
      </c>
    </row>
    <row r="82">
      <c r="A82" s="67" t="s">
        <v>236</v>
      </c>
      <c r="B82" s="67" t="s">
        <v>113</v>
      </c>
      <c r="C82" s="67" t="s">
        <v>113</v>
      </c>
      <c r="D82" s="67" t="s">
        <v>191</v>
      </c>
      <c r="E82" s="67" t="s">
        <v>104</v>
      </c>
      <c r="F82" s="67" t="s">
        <v>231</v>
      </c>
    </row>
    <row r="83">
      <c r="A83" s="67" t="s">
        <v>13</v>
      </c>
      <c r="B83" s="67" t="s">
        <v>103</v>
      </c>
      <c r="C83" s="67" t="s">
        <v>103</v>
      </c>
      <c r="D83" s="67" t="s">
        <v>191</v>
      </c>
      <c r="E83" s="67" t="s">
        <v>184</v>
      </c>
      <c r="F83" s="67" t="s">
        <v>231</v>
      </c>
    </row>
    <row r="84">
      <c r="A84" s="67" t="s">
        <v>11</v>
      </c>
      <c r="B84" s="67" t="s">
        <v>106</v>
      </c>
      <c r="C84" s="67" t="s">
        <v>106</v>
      </c>
      <c r="D84" s="67" t="s">
        <v>191</v>
      </c>
      <c r="E84" s="67" t="s">
        <v>104</v>
      </c>
      <c r="F84" s="67" t="s">
        <v>231</v>
      </c>
    </row>
    <row r="85">
      <c r="A85" s="67" t="s">
        <v>237</v>
      </c>
      <c r="B85" s="67" t="s">
        <v>113</v>
      </c>
      <c r="C85" s="67" t="s">
        <v>113</v>
      </c>
      <c r="D85" s="67" t="s">
        <v>191</v>
      </c>
      <c r="E85" s="67" t="s">
        <v>104</v>
      </c>
      <c r="F85" s="67" t="s">
        <v>231</v>
      </c>
    </row>
    <row r="86">
      <c r="A86" s="67" t="s">
        <v>238</v>
      </c>
      <c r="B86" s="67" t="s">
        <v>113</v>
      </c>
      <c r="C86" s="67" t="s">
        <v>113</v>
      </c>
      <c r="D86" s="67" t="s">
        <v>191</v>
      </c>
      <c r="E86" s="67" t="s">
        <v>104</v>
      </c>
      <c r="F86" s="67" t="s">
        <v>231</v>
      </c>
    </row>
    <row r="87">
      <c r="A87" s="67" t="s">
        <v>239</v>
      </c>
      <c r="B87" s="67" t="s">
        <v>106</v>
      </c>
      <c r="C87" s="67" t="s">
        <v>106</v>
      </c>
      <c r="D87" s="67" t="s">
        <v>191</v>
      </c>
      <c r="E87" s="67" t="s">
        <v>104</v>
      </c>
      <c r="F87" s="67" t="s">
        <v>231</v>
      </c>
    </row>
    <row r="88">
      <c r="A88" s="67" t="s">
        <v>240</v>
      </c>
      <c r="B88" s="67" t="s">
        <v>137</v>
      </c>
      <c r="C88" s="67" t="s">
        <v>128</v>
      </c>
      <c r="D88" s="67" t="s">
        <v>50</v>
      </c>
      <c r="E88" s="67" t="s">
        <v>104</v>
      </c>
      <c r="F88" s="67" t="s">
        <v>231</v>
      </c>
    </row>
    <row r="89">
      <c r="A89" s="67" t="s">
        <v>241</v>
      </c>
      <c r="B89" s="67" t="s">
        <v>137</v>
      </c>
      <c r="C89" s="67" t="s">
        <v>128</v>
      </c>
      <c r="D89" s="67" t="s">
        <v>50</v>
      </c>
      <c r="E89" s="67" t="s">
        <v>104</v>
      </c>
      <c r="F89" s="67" t="s">
        <v>231</v>
      </c>
    </row>
    <row r="90">
      <c r="A90" s="67" t="s">
        <v>242</v>
      </c>
      <c r="B90" s="67" t="s">
        <v>140</v>
      </c>
      <c r="C90" s="67" t="s">
        <v>243</v>
      </c>
      <c r="D90" s="67" t="s">
        <v>50</v>
      </c>
      <c r="E90" s="67" t="s">
        <v>153</v>
      </c>
      <c r="F90" s="67" t="s">
        <v>231</v>
      </c>
    </row>
    <row r="91">
      <c r="A91" s="67" t="s">
        <v>244</v>
      </c>
      <c r="B91" s="67" t="s">
        <v>144</v>
      </c>
      <c r="C91" s="67" t="s">
        <v>113</v>
      </c>
      <c r="D91" s="67" t="s">
        <v>50</v>
      </c>
      <c r="E91" s="67" t="s">
        <v>104</v>
      </c>
      <c r="F91" s="67" t="s">
        <v>231</v>
      </c>
    </row>
    <row r="92">
      <c r="A92" s="67" t="s">
        <v>245</v>
      </c>
      <c r="B92" s="67" t="s">
        <v>144</v>
      </c>
      <c r="C92" s="67" t="s">
        <v>113</v>
      </c>
      <c r="D92" s="67" t="s">
        <v>50</v>
      </c>
      <c r="E92" s="67" t="s">
        <v>104</v>
      </c>
      <c r="F92" s="67" t="s">
        <v>231</v>
      </c>
    </row>
    <row r="93">
      <c r="A93" s="67" t="s">
        <v>246</v>
      </c>
      <c r="B93" s="67" t="s">
        <v>178</v>
      </c>
      <c r="C93" s="67" t="s">
        <v>119</v>
      </c>
      <c r="D93" s="67" t="s">
        <v>50</v>
      </c>
      <c r="E93" s="67" t="s">
        <v>184</v>
      </c>
      <c r="F93" s="67" t="s">
        <v>231</v>
      </c>
    </row>
    <row r="94">
      <c r="A94" s="67" t="s">
        <v>17</v>
      </c>
      <c r="B94" s="67" t="s">
        <v>137</v>
      </c>
      <c r="C94" s="67" t="s">
        <v>128</v>
      </c>
      <c r="D94" s="67" t="s">
        <v>50</v>
      </c>
      <c r="E94" s="67" t="s">
        <v>104</v>
      </c>
      <c r="F94" s="67" t="s">
        <v>231</v>
      </c>
    </row>
    <row r="95">
      <c r="A95" s="67" t="s">
        <v>247</v>
      </c>
      <c r="B95" s="67" t="s">
        <v>140</v>
      </c>
      <c r="C95" s="67" t="s">
        <v>147</v>
      </c>
      <c r="D95" s="67" t="s">
        <v>50</v>
      </c>
      <c r="E95" s="67" t="s">
        <v>190</v>
      </c>
      <c r="F95" s="67" t="s">
        <v>231</v>
      </c>
    </row>
    <row r="96">
      <c r="A96" s="67" t="s">
        <v>248</v>
      </c>
      <c r="B96" s="67" t="s">
        <v>142</v>
      </c>
      <c r="C96" s="67" t="s">
        <v>110</v>
      </c>
      <c r="D96" s="67" t="s">
        <v>50</v>
      </c>
      <c r="E96" s="67" t="s">
        <v>107</v>
      </c>
      <c r="F96" s="67" t="s">
        <v>231</v>
      </c>
    </row>
    <row r="97">
      <c r="A97" s="67" t="s">
        <v>249</v>
      </c>
      <c r="B97" s="67" t="s">
        <v>144</v>
      </c>
      <c r="C97" s="67" t="s">
        <v>113</v>
      </c>
      <c r="D97" s="67" t="s">
        <v>50</v>
      </c>
      <c r="E97" s="67" t="s">
        <v>104</v>
      </c>
      <c r="F97" s="67" t="s">
        <v>231</v>
      </c>
    </row>
    <row r="98">
      <c r="A98" s="67" t="s">
        <v>49</v>
      </c>
      <c r="B98" s="67" t="s">
        <v>250</v>
      </c>
      <c r="C98" s="67" t="s">
        <v>250</v>
      </c>
      <c r="D98" s="67" t="s">
        <v>191</v>
      </c>
      <c r="E98" s="67" t="s">
        <v>104</v>
      </c>
      <c r="F98" s="67" t="s">
        <v>251</v>
      </c>
    </row>
    <row r="99">
      <c r="A99" s="67" t="s">
        <v>252</v>
      </c>
      <c r="B99" s="67" t="s">
        <v>253</v>
      </c>
      <c r="C99" s="67" t="s">
        <v>253</v>
      </c>
      <c r="D99" s="67" t="s">
        <v>191</v>
      </c>
      <c r="E99" s="67" t="s">
        <v>158</v>
      </c>
      <c r="F99" s="67" t="s">
        <v>251</v>
      </c>
    </row>
    <row r="100">
      <c r="A100" s="67" t="s">
        <v>64</v>
      </c>
      <c r="B100" s="67" t="s">
        <v>121</v>
      </c>
      <c r="C100" s="67" t="s">
        <v>121</v>
      </c>
      <c r="D100" s="67" t="s">
        <v>191</v>
      </c>
      <c r="E100" s="67" t="s">
        <v>184</v>
      </c>
      <c r="F100" s="67" t="s">
        <v>251</v>
      </c>
    </row>
    <row r="101">
      <c r="A101" s="67" t="s">
        <v>254</v>
      </c>
      <c r="B101" s="67" t="s">
        <v>113</v>
      </c>
      <c r="C101" s="67" t="s">
        <v>113</v>
      </c>
      <c r="D101" s="67" t="s">
        <v>191</v>
      </c>
      <c r="E101" s="67" t="s">
        <v>104</v>
      </c>
      <c r="F101" s="67" t="s">
        <v>251</v>
      </c>
    </row>
    <row r="102">
      <c r="A102" s="67" t="s">
        <v>255</v>
      </c>
      <c r="B102" s="67" t="s">
        <v>128</v>
      </c>
      <c r="C102" s="67" t="s">
        <v>128</v>
      </c>
      <c r="D102" s="67" t="s">
        <v>191</v>
      </c>
      <c r="E102" s="67" t="s">
        <v>184</v>
      </c>
      <c r="F102" s="67" t="s">
        <v>251</v>
      </c>
    </row>
    <row r="103">
      <c r="A103" s="67" t="s">
        <v>71</v>
      </c>
      <c r="B103" s="67" t="s">
        <v>256</v>
      </c>
      <c r="C103" s="67" t="s">
        <v>256</v>
      </c>
      <c r="D103" s="67" t="s">
        <v>191</v>
      </c>
      <c r="E103" s="67" t="s">
        <v>153</v>
      </c>
      <c r="F103" s="67" t="s">
        <v>251</v>
      </c>
    </row>
    <row r="104">
      <c r="A104" s="67" t="s">
        <v>257</v>
      </c>
      <c r="B104" s="67" t="s">
        <v>258</v>
      </c>
      <c r="C104" s="67" t="s">
        <v>258</v>
      </c>
      <c r="D104" s="67" t="s">
        <v>191</v>
      </c>
      <c r="E104" s="67" t="s">
        <v>104</v>
      </c>
      <c r="F104" s="67" t="s">
        <v>251</v>
      </c>
    </row>
    <row r="105">
      <c r="A105" s="67" t="s">
        <v>259</v>
      </c>
      <c r="B105" s="67" t="s">
        <v>115</v>
      </c>
      <c r="C105" s="67" t="s">
        <v>115</v>
      </c>
      <c r="D105" s="67" t="s">
        <v>191</v>
      </c>
      <c r="E105" s="67" t="s">
        <v>104</v>
      </c>
      <c r="F105" s="67" t="s">
        <v>251</v>
      </c>
    </row>
    <row r="106">
      <c r="A106" s="67" t="s">
        <v>260</v>
      </c>
      <c r="B106" s="67" t="s">
        <v>128</v>
      </c>
      <c r="C106" s="67" t="s">
        <v>128</v>
      </c>
      <c r="D106" s="67" t="s">
        <v>191</v>
      </c>
      <c r="E106" s="67" t="s">
        <v>190</v>
      </c>
      <c r="F106" s="67" t="s">
        <v>251</v>
      </c>
    </row>
    <row r="107">
      <c r="A107" s="67" t="s">
        <v>89</v>
      </c>
      <c r="B107" s="67" t="s">
        <v>261</v>
      </c>
      <c r="C107" s="67" t="s">
        <v>261</v>
      </c>
      <c r="D107" s="67" t="s">
        <v>191</v>
      </c>
      <c r="E107" s="67" t="s">
        <v>104</v>
      </c>
      <c r="F107" s="67" t="s">
        <v>251</v>
      </c>
    </row>
    <row r="108">
      <c r="A108" s="67" t="s">
        <v>262</v>
      </c>
      <c r="B108" s="67" t="s">
        <v>113</v>
      </c>
      <c r="C108" s="67" t="s">
        <v>113</v>
      </c>
      <c r="D108" s="67" t="s">
        <v>191</v>
      </c>
      <c r="E108" s="67" t="s">
        <v>104</v>
      </c>
      <c r="F108" s="67" t="s">
        <v>251</v>
      </c>
    </row>
    <row r="109">
      <c r="A109" s="67" t="s">
        <v>263</v>
      </c>
      <c r="B109" s="67" t="s">
        <v>113</v>
      </c>
      <c r="C109" s="67" t="s">
        <v>113</v>
      </c>
      <c r="D109" s="67" t="s">
        <v>191</v>
      </c>
      <c r="E109" s="67" t="s">
        <v>104</v>
      </c>
      <c r="F109" s="67" t="s">
        <v>251</v>
      </c>
    </row>
    <row r="110">
      <c r="A110" s="67" t="s">
        <v>264</v>
      </c>
      <c r="B110" s="67" t="s">
        <v>265</v>
      </c>
      <c r="C110" s="67" t="s">
        <v>265</v>
      </c>
      <c r="D110" s="67" t="s">
        <v>191</v>
      </c>
      <c r="E110" s="67" t="s">
        <v>104</v>
      </c>
      <c r="F110" s="67" t="s">
        <v>251</v>
      </c>
    </row>
    <row r="111">
      <c r="A111" s="67" t="s">
        <v>266</v>
      </c>
      <c r="B111" s="67" t="s">
        <v>113</v>
      </c>
      <c r="C111" s="67" t="s">
        <v>113</v>
      </c>
      <c r="D111" s="67" t="s">
        <v>191</v>
      </c>
      <c r="E111" s="67" t="s">
        <v>104</v>
      </c>
      <c r="F111" s="67" t="s">
        <v>251</v>
      </c>
    </row>
    <row r="112">
      <c r="A112" s="67" t="s">
        <v>267</v>
      </c>
      <c r="B112" s="67" t="s">
        <v>113</v>
      </c>
      <c r="C112" s="67" t="s">
        <v>113</v>
      </c>
      <c r="D112" s="67" t="s">
        <v>191</v>
      </c>
      <c r="E112" s="67" t="s">
        <v>104</v>
      </c>
      <c r="F112" s="67" t="s">
        <v>251</v>
      </c>
    </row>
    <row r="113">
      <c r="A113" s="67" t="s">
        <v>268</v>
      </c>
      <c r="B113" s="67" t="s">
        <v>113</v>
      </c>
      <c r="C113" s="67" t="s">
        <v>113</v>
      </c>
      <c r="D113" s="67" t="s">
        <v>191</v>
      </c>
      <c r="E113" s="67" t="s">
        <v>104</v>
      </c>
      <c r="F113" s="67" t="s">
        <v>251</v>
      </c>
    </row>
    <row r="114">
      <c r="A114" s="67" t="s">
        <v>269</v>
      </c>
      <c r="B114" s="67" t="s">
        <v>270</v>
      </c>
      <c r="C114" s="67" t="s">
        <v>271</v>
      </c>
      <c r="D114" s="67" t="s">
        <v>191</v>
      </c>
      <c r="E114" s="67" t="s">
        <v>104</v>
      </c>
      <c r="F114" s="67" t="s">
        <v>251</v>
      </c>
    </row>
    <row r="115">
      <c r="A115" s="67" t="s">
        <v>272</v>
      </c>
      <c r="B115" s="67" t="s">
        <v>144</v>
      </c>
      <c r="C115" s="67" t="s">
        <v>113</v>
      </c>
      <c r="D115" s="67" t="s">
        <v>50</v>
      </c>
      <c r="E115" s="67" t="s">
        <v>104</v>
      </c>
      <c r="F115" s="67" t="s">
        <v>251</v>
      </c>
    </row>
    <row r="116">
      <c r="A116" s="67" t="s">
        <v>273</v>
      </c>
      <c r="B116" s="67" t="s">
        <v>144</v>
      </c>
      <c r="C116" s="67" t="s">
        <v>196</v>
      </c>
      <c r="D116" s="67" t="s">
        <v>50</v>
      </c>
      <c r="E116" s="67" t="s">
        <v>104</v>
      </c>
      <c r="F116" s="67" t="s">
        <v>251</v>
      </c>
    </row>
    <row r="117">
      <c r="A117" s="67" t="s">
        <v>274</v>
      </c>
      <c r="B117" s="67" t="s">
        <v>137</v>
      </c>
      <c r="C117" s="67" t="s">
        <v>275</v>
      </c>
      <c r="D117" s="67" t="s">
        <v>50</v>
      </c>
      <c r="E117" s="67" t="s">
        <v>104</v>
      </c>
      <c r="F117" s="67" t="s">
        <v>251</v>
      </c>
    </row>
    <row r="118">
      <c r="A118" s="67" t="s">
        <v>276</v>
      </c>
      <c r="B118" s="67" t="s">
        <v>142</v>
      </c>
      <c r="C118" s="67" t="s">
        <v>110</v>
      </c>
      <c r="D118" s="67" t="s">
        <v>50</v>
      </c>
      <c r="E118" s="67" t="s">
        <v>153</v>
      </c>
      <c r="F118" s="67" t="s">
        <v>251</v>
      </c>
    </row>
    <row r="119">
      <c r="A119" s="67" t="s">
        <v>277</v>
      </c>
      <c r="B119" s="67" t="s">
        <v>144</v>
      </c>
      <c r="C119" s="67" t="s">
        <v>113</v>
      </c>
      <c r="D119" s="67" t="s">
        <v>50</v>
      </c>
      <c r="E119" s="67" t="s">
        <v>104</v>
      </c>
      <c r="F119" s="67" t="s">
        <v>251</v>
      </c>
    </row>
    <row r="120">
      <c r="A120" s="67" t="s">
        <v>278</v>
      </c>
      <c r="B120" s="67" t="s">
        <v>140</v>
      </c>
      <c r="C120" s="67" t="s">
        <v>147</v>
      </c>
      <c r="D120" s="67" t="s">
        <v>50</v>
      </c>
      <c r="E120" s="67" t="s">
        <v>107</v>
      </c>
      <c r="F120" s="67" t="s">
        <v>251</v>
      </c>
    </row>
    <row r="121">
      <c r="A121" s="67" t="s">
        <v>279</v>
      </c>
      <c r="B121" s="67" t="s">
        <v>280</v>
      </c>
      <c r="C121" s="67" t="s">
        <v>281</v>
      </c>
      <c r="D121" s="67" t="s">
        <v>282</v>
      </c>
      <c r="E121" s="67" t="s">
        <v>104</v>
      </c>
      <c r="F121" s="67" t="s">
        <v>251</v>
      </c>
    </row>
    <row r="122">
      <c r="A122" s="67" t="s">
        <v>47</v>
      </c>
      <c r="B122" s="67" t="s">
        <v>283</v>
      </c>
      <c r="C122" s="67" t="s">
        <v>209</v>
      </c>
      <c r="D122" s="67" t="s">
        <v>282</v>
      </c>
      <c r="E122" s="67" t="s">
        <v>104</v>
      </c>
      <c r="F122" s="67" t="s">
        <v>284</v>
      </c>
    </row>
    <row r="123">
      <c r="A123" s="67" t="s">
        <v>42</v>
      </c>
      <c r="B123" s="67" t="s">
        <v>121</v>
      </c>
      <c r="C123" s="67" t="s">
        <v>121</v>
      </c>
      <c r="D123" s="67" t="s">
        <v>191</v>
      </c>
      <c r="E123" s="67" t="s">
        <v>104</v>
      </c>
      <c r="F123" s="67" t="s">
        <v>284</v>
      </c>
    </row>
    <row r="124">
      <c r="A124" s="67" t="s">
        <v>285</v>
      </c>
      <c r="B124" s="67" t="s">
        <v>194</v>
      </c>
      <c r="C124" s="67" t="s">
        <v>194</v>
      </c>
      <c r="D124" s="67" t="s">
        <v>191</v>
      </c>
      <c r="E124" s="67" t="s">
        <v>158</v>
      </c>
      <c r="F124" s="67" t="s">
        <v>284</v>
      </c>
    </row>
    <row r="125">
      <c r="A125" s="67" t="s">
        <v>286</v>
      </c>
      <c r="B125" s="67" t="s">
        <v>106</v>
      </c>
      <c r="C125" s="67" t="s">
        <v>106</v>
      </c>
      <c r="D125" s="67" t="s">
        <v>191</v>
      </c>
      <c r="E125" s="67" t="s">
        <v>104</v>
      </c>
      <c r="F125" s="67" t="s">
        <v>284</v>
      </c>
    </row>
    <row r="126">
      <c r="A126" s="67" t="s">
        <v>287</v>
      </c>
      <c r="B126" s="67" t="s">
        <v>288</v>
      </c>
      <c r="C126" s="67" t="s">
        <v>288</v>
      </c>
      <c r="D126" s="67" t="s">
        <v>191</v>
      </c>
      <c r="E126" s="67" t="s">
        <v>104</v>
      </c>
      <c r="F126" s="67" t="s">
        <v>284</v>
      </c>
    </row>
    <row r="127">
      <c r="A127" s="67" t="s">
        <v>86</v>
      </c>
      <c r="B127" s="67" t="s">
        <v>205</v>
      </c>
      <c r="C127" s="67" t="s">
        <v>205</v>
      </c>
      <c r="D127" s="67" t="s">
        <v>191</v>
      </c>
      <c r="E127" s="67" t="s">
        <v>104</v>
      </c>
      <c r="F127" s="67" t="s">
        <v>284</v>
      </c>
    </row>
    <row r="128">
      <c r="A128" s="67" t="s">
        <v>289</v>
      </c>
      <c r="B128" s="67" t="s">
        <v>261</v>
      </c>
      <c r="C128" s="67" t="s">
        <v>261</v>
      </c>
      <c r="D128" s="67" t="s">
        <v>191</v>
      </c>
      <c r="E128" s="67" t="s">
        <v>153</v>
      </c>
      <c r="F128" s="67" t="s">
        <v>284</v>
      </c>
    </row>
    <row r="129">
      <c r="A129" s="67" t="s">
        <v>290</v>
      </c>
      <c r="B129" s="67" t="s">
        <v>113</v>
      </c>
      <c r="C129" s="67" t="s">
        <v>113</v>
      </c>
      <c r="D129" s="67" t="s">
        <v>191</v>
      </c>
      <c r="E129" s="67" t="s">
        <v>104</v>
      </c>
      <c r="F129" s="67" t="s">
        <v>284</v>
      </c>
    </row>
    <row r="130">
      <c r="A130" s="67" t="s">
        <v>291</v>
      </c>
      <c r="B130" s="67" t="s">
        <v>113</v>
      </c>
      <c r="C130" s="67" t="s">
        <v>113</v>
      </c>
      <c r="D130" s="67" t="s">
        <v>191</v>
      </c>
      <c r="E130" s="67" t="s">
        <v>104</v>
      </c>
      <c r="F130" s="67" t="s">
        <v>284</v>
      </c>
    </row>
    <row r="131">
      <c r="A131" s="67" t="s">
        <v>48</v>
      </c>
      <c r="B131" s="67" t="s">
        <v>103</v>
      </c>
      <c r="C131" s="67" t="s">
        <v>103</v>
      </c>
      <c r="D131" s="67" t="s">
        <v>191</v>
      </c>
      <c r="E131" s="67" t="s">
        <v>104</v>
      </c>
      <c r="F131" s="67" t="s">
        <v>284</v>
      </c>
    </row>
    <row r="132">
      <c r="A132" s="67" t="s">
        <v>292</v>
      </c>
      <c r="B132" s="67" t="s">
        <v>113</v>
      </c>
      <c r="C132" s="67" t="s">
        <v>113</v>
      </c>
      <c r="D132" s="67" t="s">
        <v>191</v>
      </c>
      <c r="E132" s="67" t="s">
        <v>104</v>
      </c>
      <c r="F132" s="67" t="s">
        <v>284</v>
      </c>
    </row>
    <row r="133">
      <c r="A133" s="67" t="s">
        <v>293</v>
      </c>
      <c r="B133" s="67" t="s">
        <v>128</v>
      </c>
      <c r="C133" s="67" t="s">
        <v>128</v>
      </c>
      <c r="D133" s="67" t="s">
        <v>191</v>
      </c>
      <c r="E133" s="67" t="s">
        <v>104</v>
      </c>
      <c r="F133" s="67" t="s">
        <v>284</v>
      </c>
    </row>
    <row r="134">
      <c r="A134" s="67" t="s">
        <v>294</v>
      </c>
      <c r="B134" s="67" t="s">
        <v>183</v>
      </c>
      <c r="C134" s="67" t="s">
        <v>183</v>
      </c>
      <c r="D134" s="67" t="s">
        <v>191</v>
      </c>
      <c r="E134" s="67" t="s">
        <v>153</v>
      </c>
      <c r="F134" s="67" t="s">
        <v>284</v>
      </c>
    </row>
    <row r="135">
      <c r="A135" s="67" t="s">
        <v>295</v>
      </c>
      <c r="B135" s="67" t="s">
        <v>296</v>
      </c>
      <c r="C135" s="67" t="s">
        <v>128</v>
      </c>
      <c r="D135" s="67" t="s">
        <v>282</v>
      </c>
      <c r="E135" s="67" t="s">
        <v>184</v>
      </c>
      <c r="F135" s="67" t="s">
        <v>284</v>
      </c>
    </row>
    <row r="136">
      <c r="A136" s="67" t="s">
        <v>297</v>
      </c>
      <c r="B136" s="67" t="s">
        <v>140</v>
      </c>
      <c r="C136" s="67" t="s">
        <v>179</v>
      </c>
      <c r="D136" s="67" t="s">
        <v>50</v>
      </c>
      <c r="E136" s="67" t="s">
        <v>158</v>
      </c>
      <c r="F136" s="67" t="s">
        <v>284</v>
      </c>
    </row>
    <row r="137">
      <c r="A137" s="67" t="s">
        <v>298</v>
      </c>
      <c r="B137" s="67" t="s">
        <v>137</v>
      </c>
      <c r="C137" s="67" t="s">
        <v>299</v>
      </c>
      <c r="D137" s="67" t="s">
        <v>50</v>
      </c>
      <c r="E137" s="67" t="s">
        <v>126</v>
      </c>
      <c r="F137" s="67" t="s">
        <v>284</v>
      </c>
    </row>
    <row r="138">
      <c r="A138" s="67" t="s">
        <v>300</v>
      </c>
      <c r="B138" s="67" t="s">
        <v>137</v>
      </c>
      <c r="C138" s="67" t="s">
        <v>301</v>
      </c>
      <c r="D138" s="67" t="s">
        <v>50</v>
      </c>
      <c r="E138" s="67" t="s">
        <v>126</v>
      </c>
      <c r="F138" s="67" t="s">
        <v>284</v>
      </c>
    </row>
    <row r="139">
      <c r="A139" s="67" t="s">
        <v>302</v>
      </c>
      <c r="B139" s="67" t="s">
        <v>178</v>
      </c>
      <c r="C139" s="67" t="s">
        <v>119</v>
      </c>
      <c r="D139" s="67" t="s">
        <v>50</v>
      </c>
      <c r="E139" s="67" t="s">
        <v>190</v>
      </c>
      <c r="F139" s="67" t="s">
        <v>284</v>
      </c>
    </row>
    <row r="140">
      <c r="A140" s="67" t="s">
        <v>303</v>
      </c>
      <c r="B140" s="67" t="s">
        <v>144</v>
      </c>
      <c r="C140" s="67" t="s">
        <v>113</v>
      </c>
      <c r="D140" s="67" t="s">
        <v>50</v>
      </c>
      <c r="E140" s="67" t="s">
        <v>104</v>
      </c>
      <c r="F140" s="67" t="s">
        <v>284</v>
      </c>
    </row>
    <row r="141">
      <c r="A141" s="67" t="s">
        <v>304</v>
      </c>
      <c r="B141" s="67" t="s">
        <v>144</v>
      </c>
      <c r="C141" s="67" t="s">
        <v>113</v>
      </c>
      <c r="D141" s="67" t="s">
        <v>50</v>
      </c>
      <c r="E141" s="67" t="s">
        <v>104</v>
      </c>
      <c r="F141" s="67" t="s">
        <v>284</v>
      </c>
    </row>
    <row r="142">
      <c r="A142" s="67" t="s">
        <v>305</v>
      </c>
      <c r="B142" s="67" t="s">
        <v>144</v>
      </c>
      <c r="C142" s="67" t="s">
        <v>113</v>
      </c>
      <c r="D142" s="67" t="s">
        <v>50</v>
      </c>
      <c r="E142" s="67" t="s">
        <v>104</v>
      </c>
      <c r="F142" s="67" t="s">
        <v>284</v>
      </c>
    </row>
    <row r="143">
      <c r="A143" s="67" t="s">
        <v>306</v>
      </c>
      <c r="B143" s="67" t="s">
        <v>144</v>
      </c>
      <c r="C143" s="67" t="s">
        <v>113</v>
      </c>
      <c r="D143" s="67" t="s">
        <v>50</v>
      </c>
      <c r="E143" s="67" t="s">
        <v>104</v>
      </c>
      <c r="F143" s="67" t="s">
        <v>284</v>
      </c>
    </row>
    <row r="144">
      <c r="A144" s="67" t="s">
        <v>286</v>
      </c>
      <c r="B144" s="67" t="s">
        <v>187</v>
      </c>
      <c r="C144" s="67" t="s">
        <v>106</v>
      </c>
      <c r="D144" s="67" t="s">
        <v>191</v>
      </c>
      <c r="E144" s="67" t="s">
        <v>104</v>
      </c>
      <c r="F144" s="67" t="s">
        <v>284</v>
      </c>
    </row>
    <row r="145">
      <c r="A145" s="67" t="s">
        <v>60</v>
      </c>
      <c r="B145" s="67" t="s">
        <v>187</v>
      </c>
      <c r="C145" s="67" t="s">
        <v>187</v>
      </c>
      <c r="D145" s="67" t="s">
        <v>307</v>
      </c>
      <c r="E145" s="67" t="s">
        <v>107</v>
      </c>
      <c r="F145" s="67" t="s">
        <v>284</v>
      </c>
    </row>
    <row r="146">
      <c r="A146" s="67" t="s">
        <v>10</v>
      </c>
      <c r="B146" s="67" t="s">
        <v>261</v>
      </c>
      <c r="C146" s="67" t="s">
        <v>261</v>
      </c>
      <c r="D146" s="67" t="s">
        <v>191</v>
      </c>
      <c r="E146" s="67" t="s">
        <v>104</v>
      </c>
      <c r="F146" s="67" t="s">
        <v>308</v>
      </c>
    </row>
    <row r="147">
      <c r="A147" s="67" t="s">
        <v>309</v>
      </c>
      <c r="B147" s="67" t="s">
        <v>113</v>
      </c>
      <c r="C147" s="67" t="s">
        <v>113</v>
      </c>
      <c r="D147" s="67" t="s">
        <v>191</v>
      </c>
      <c r="E147" s="67" t="s">
        <v>153</v>
      </c>
      <c r="F147" s="67" t="s">
        <v>308</v>
      </c>
    </row>
    <row r="148">
      <c r="A148" s="67" t="s">
        <v>310</v>
      </c>
      <c r="B148" s="67" t="s">
        <v>223</v>
      </c>
      <c r="C148" s="67" t="s">
        <v>223</v>
      </c>
      <c r="D148" s="67" t="s">
        <v>191</v>
      </c>
      <c r="E148" s="67" t="s">
        <v>104</v>
      </c>
      <c r="F148" s="67" t="s">
        <v>308</v>
      </c>
    </row>
    <row r="149">
      <c r="A149" s="67" t="s">
        <v>311</v>
      </c>
      <c r="B149" s="67" t="s">
        <v>113</v>
      </c>
      <c r="C149" s="67" t="s">
        <v>113</v>
      </c>
      <c r="D149" s="67" t="s">
        <v>191</v>
      </c>
      <c r="E149" s="67" t="s">
        <v>104</v>
      </c>
      <c r="F149" s="67" t="s">
        <v>308</v>
      </c>
    </row>
    <row r="150">
      <c r="A150" s="67" t="s">
        <v>312</v>
      </c>
      <c r="B150" s="67" t="s">
        <v>128</v>
      </c>
      <c r="C150" s="67" t="s">
        <v>128</v>
      </c>
      <c r="D150" s="67" t="s">
        <v>191</v>
      </c>
      <c r="E150" s="67" t="s">
        <v>313</v>
      </c>
      <c r="F150" s="67" t="s">
        <v>308</v>
      </c>
    </row>
    <row r="151">
      <c r="A151" s="67" t="s">
        <v>314</v>
      </c>
      <c r="B151" s="67" t="s">
        <v>233</v>
      </c>
      <c r="C151" s="67" t="s">
        <v>233</v>
      </c>
      <c r="D151" s="67" t="s">
        <v>191</v>
      </c>
      <c r="E151" s="67" t="s">
        <v>104</v>
      </c>
      <c r="F151" s="67" t="s">
        <v>308</v>
      </c>
    </row>
    <row r="152">
      <c r="A152" s="67" t="s">
        <v>315</v>
      </c>
      <c r="B152" s="67" t="s">
        <v>316</v>
      </c>
      <c r="C152" s="67" t="s">
        <v>316</v>
      </c>
      <c r="D152" s="67" t="s">
        <v>191</v>
      </c>
      <c r="E152" s="67" t="s">
        <v>107</v>
      </c>
      <c r="F152" s="67" t="s">
        <v>308</v>
      </c>
    </row>
    <row r="153">
      <c r="A153" s="67" t="s">
        <v>317</v>
      </c>
      <c r="B153" s="67" t="s">
        <v>113</v>
      </c>
      <c r="C153" s="67" t="s">
        <v>113</v>
      </c>
      <c r="D153" s="67" t="s">
        <v>191</v>
      </c>
      <c r="E153" s="67" t="s">
        <v>104</v>
      </c>
      <c r="F153" s="67" t="s">
        <v>308</v>
      </c>
    </row>
    <row r="154">
      <c r="A154" s="67" t="s">
        <v>87</v>
      </c>
      <c r="B154" s="67" t="s">
        <v>115</v>
      </c>
      <c r="C154" s="67" t="s">
        <v>115</v>
      </c>
      <c r="D154" s="67" t="s">
        <v>191</v>
      </c>
      <c r="E154" s="67" t="s">
        <v>104</v>
      </c>
      <c r="F154" s="67" t="s">
        <v>308</v>
      </c>
    </row>
    <row r="155">
      <c r="A155" s="67" t="s">
        <v>318</v>
      </c>
      <c r="B155" s="67" t="s">
        <v>183</v>
      </c>
      <c r="C155" s="67" t="s">
        <v>183</v>
      </c>
      <c r="D155" s="67" t="s">
        <v>191</v>
      </c>
      <c r="E155" s="67" t="s">
        <v>153</v>
      </c>
      <c r="F155" s="67" t="s">
        <v>308</v>
      </c>
    </row>
    <row r="156">
      <c r="A156" s="67" t="s">
        <v>65</v>
      </c>
      <c r="B156" s="67" t="s">
        <v>319</v>
      </c>
      <c r="C156" s="67" t="s">
        <v>319</v>
      </c>
      <c r="D156" s="67" t="s">
        <v>191</v>
      </c>
      <c r="E156" s="67" t="s">
        <v>158</v>
      </c>
      <c r="F156" s="67" t="s">
        <v>308</v>
      </c>
    </row>
    <row r="157">
      <c r="A157" s="67" t="s">
        <v>320</v>
      </c>
      <c r="B157" s="67" t="s">
        <v>165</v>
      </c>
      <c r="C157" s="67" t="s">
        <v>165</v>
      </c>
      <c r="D157" s="67" t="s">
        <v>191</v>
      </c>
      <c r="E157" s="67" t="s">
        <v>104</v>
      </c>
      <c r="F157" s="67" t="s">
        <v>308</v>
      </c>
    </row>
    <row r="158">
      <c r="A158" s="67" t="s">
        <v>321</v>
      </c>
      <c r="B158" s="67" t="s">
        <v>322</v>
      </c>
      <c r="C158" s="67" t="s">
        <v>322</v>
      </c>
      <c r="D158" s="67" t="s">
        <v>191</v>
      </c>
      <c r="E158" s="67" t="s">
        <v>104</v>
      </c>
      <c r="F158" s="67" t="s">
        <v>308</v>
      </c>
    </row>
    <row r="159">
      <c r="A159" s="67" t="s">
        <v>323</v>
      </c>
      <c r="B159" s="67" t="s">
        <v>113</v>
      </c>
      <c r="C159" s="67" t="s">
        <v>113</v>
      </c>
      <c r="D159" s="67" t="s">
        <v>191</v>
      </c>
      <c r="E159" s="67" t="s">
        <v>104</v>
      </c>
      <c r="F159" s="67" t="s">
        <v>308</v>
      </c>
    </row>
    <row r="160">
      <c r="A160" s="67" t="s">
        <v>324</v>
      </c>
      <c r="B160" s="67" t="s">
        <v>140</v>
      </c>
      <c r="C160" s="67" t="s">
        <v>325</v>
      </c>
      <c r="D160" s="67" t="s">
        <v>50</v>
      </c>
      <c r="E160" s="67" t="s">
        <v>104</v>
      </c>
      <c r="F160" s="67" t="s">
        <v>308</v>
      </c>
    </row>
    <row r="161">
      <c r="A161" s="67" t="s">
        <v>83</v>
      </c>
      <c r="B161" s="67" t="s">
        <v>140</v>
      </c>
      <c r="C161" s="67" t="s">
        <v>106</v>
      </c>
      <c r="D161" s="67" t="s">
        <v>50</v>
      </c>
      <c r="E161" s="67" t="s">
        <v>158</v>
      </c>
      <c r="F161" s="67" t="s">
        <v>308</v>
      </c>
    </row>
    <row r="162">
      <c r="A162" s="67" t="s">
        <v>326</v>
      </c>
      <c r="B162" s="67" t="s">
        <v>140</v>
      </c>
      <c r="C162" s="67" t="s">
        <v>327</v>
      </c>
      <c r="D162" s="67" t="s">
        <v>50</v>
      </c>
      <c r="E162" s="67" t="s">
        <v>107</v>
      </c>
      <c r="F162" s="67" t="s">
        <v>308</v>
      </c>
    </row>
    <row r="163">
      <c r="A163" s="67" t="s">
        <v>328</v>
      </c>
      <c r="B163" s="67" t="s">
        <v>144</v>
      </c>
      <c r="C163" s="67" t="s">
        <v>113</v>
      </c>
      <c r="D163" s="67" t="s">
        <v>50</v>
      </c>
      <c r="E163" s="67" t="s">
        <v>104</v>
      </c>
      <c r="F163" s="67" t="s">
        <v>308</v>
      </c>
    </row>
    <row r="164">
      <c r="A164" s="67" t="s">
        <v>329</v>
      </c>
      <c r="B164" s="67" t="s">
        <v>144</v>
      </c>
      <c r="C164" s="67" t="s">
        <v>113</v>
      </c>
      <c r="D164" s="67" t="s">
        <v>50</v>
      </c>
      <c r="E164" s="67" t="s">
        <v>104</v>
      </c>
      <c r="F164" s="67" t="s">
        <v>308</v>
      </c>
    </row>
    <row r="165">
      <c r="A165" s="67" t="s">
        <v>330</v>
      </c>
      <c r="B165" s="67" t="s">
        <v>144</v>
      </c>
      <c r="C165" s="67" t="s">
        <v>113</v>
      </c>
      <c r="D165" s="67" t="s">
        <v>50</v>
      </c>
      <c r="E165" s="67" t="s">
        <v>104</v>
      </c>
      <c r="F165" s="67" t="s">
        <v>308</v>
      </c>
    </row>
    <row r="166">
      <c r="A166" s="67" t="s">
        <v>331</v>
      </c>
      <c r="B166" s="67" t="s">
        <v>144</v>
      </c>
      <c r="C166" s="67" t="s">
        <v>113</v>
      </c>
      <c r="D166" s="67" t="s">
        <v>50</v>
      </c>
      <c r="E166" s="67" t="s">
        <v>104</v>
      </c>
      <c r="F166" s="67" t="s">
        <v>308</v>
      </c>
    </row>
    <row r="167">
      <c r="A167" s="67" t="s">
        <v>332</v>
      </c>
      <c r="B167" s="67" t="s">
        <v>144</v>
      </c>
      <c r="C167" s="67" t="s">
        <v>113</v>
      </c>
      <c r="D167" s="67" t="s">
        <v>50</v>
      </c>
      <c r="E167" s="67" t="s">
        <v>104</v>
      </c>
      <c r="F167" s="67" t="s">
        <v>308</v>
      </c>
    </row>
    <row r="168">
      <c r="A168" s="67" t="s">
        <v>56</v>
      </c>
      <c r="B168" s="67" t="s">
        <v>333</v>
      </c>
      <c r="C168" s="67" t="s">
        <v>333</v>
      </c>
      <c r="D168" s="67" t="s">
        <v>191</v>
      </c>
      <c r="E168" s="67" t="s">
        <v>107</v>
      </c>
      <c r="F168" s="67" t="s">
        <v>308</v>
      </c>
    </row>
    <row r="169">
      <c r="A169" s="67" t="s">
        <v>57</v>
      </c>
      <c r="B169" s="67" t="s">
        <v>108</v>
      </c>
      <c r="C169" s="67" t="s">
        <v>108</v>
      </c>
      <c r="D169" s="67" t="s">
        <v>191</v>
      </c>
      <c r="E169" s="67" t="s">
        <v>104</v>
      </c>
      <c r="F169" s="67" t="s">
        <v>334</v>
      </c>
    </row>
    <row r="170">
      <c r="A170" s="67" t="s">
        <v>52</v>
      </c>
      <c r="B170" s="67" t="s">
        <v>226</v>
      </c>
      <c r="C170" s="67" t="s">
        <v>226</v>
      </c>
      <c r="D170" s="67" t="s">
        <v>191</v>
      </c>
      <c r="E170" s="67" t="s">
        <v>107</v>
      </c>
      <c r="F170" s="67" t="s">
        <v>334</v>
      </c>
    </row>
    <row r="171">
      <c r="A171" s="67" t="s">
        <v>84</v>
      </c>
      <c r="B171" s="67" t="s">
        <v>335</v>
      </c>
      <c r="C171" s="67" t="s">
        <v>335</v>
      </c>
      <c r="D171" s="67" t="s">
        <v>191</v>
      </c>
      <c r="E171" s="67" t="s">
        <v>184</v>
      </c>
      <c r="F171" s="67" t="s">
        <v>334</v>
      </c>
    </row>
    <row r="172">
      <c r="A172" s="67" t="s">
        <v>336</v>
      </c>
      <c r="B172" s="67" t="s">
        <v>115</v>
      </c>
      <c r="C172" s="67" t="s">
        <v>115</v>
      </c>
      <c r="D172" s="67" t="s">
        <v>191</v>
      </c>
      <c r="E172" s="67" t="s">
        <v>104</v>
      </c>
      <c r="F172" s="67" t="s">
        <v>334</v>
      </c>
    </row>
    <row r="173">
      <c r="A173" s="67" t="s">
        <v>337</v>
      </c>
      <c r="B173" s="67" t="s">
        <v>113</v>
      </c>
      <c r="C173" s="67" t="s">
        <v>113</v>
      </c>
      <c r="D173" s="67" t="s">
        <v>191</v>
      </c>
      <c r="E173" s="67" t="s">
        <v>104</v>
      </c>
      <c r="F173" s="67" t="s">
        <v>334</v>
      </c>
    </row>
    <row r="174">
      <c r="A174" s="67" t="s">
        <v>338</v>
      </c>
      <c r="B174" s="67" t="s">
        <v>322</v>
      </c>
      <c r="C174" s="67" t="s">
        <v>322</v>
      </c>
      <c r="D174" s="67" t="s">
        <v>191</v>
      </c>
      <c r="E174" s="67" t="s">
        <v>104</v>
      </c>
      <c r="F174" s="67" t="s">
        <v>334</v>
      </c>
    </row>
    <row r="175">
      <c r="A175" s="67" t="s">
        <v>339</v>
      </c>
      <c r="B175" s="67" t="s">
        <v>128</v>
      </c>
      <c r="C175" s="67" t="s">
        <v>128</v>
      </c>
      <c r="D175" s="67" t="s">
        <v>191</v>
      </c>
      <c r="E175" s="67" t="s">
        <v>158</v>
      </c>
      <c r="F175" s="67" t="s">
        <v>334</v>
      </c>
    </row>
    <row r="176">
      <c r="A176" s="67" t="s">
        <v>340</v>
      </c>
      <c r="B176" s="67" t="s">
        <v>113</v>
      </c>
      <c r="C176" s="67" t="s">
        <v>113</v>
      </c>
      <c r="D176" s="67" t="s">
        <v>191</v>
      </c>
      <c r="E176" s="67" t="s">
        <v>104</v>
      </c>
      <c r="F176" s="67" t="s">
        <v>334</v>
      </c>
    </row>
    <row r="177">
      <c r="A177" s="67" t="s">
        <v>341</v>
      </c>
      <c r="B177" s="67" t="s">
        <v>179</v>
      </c>
      <c r="C177" s="67" t="s">
        <v>179</v>
      </c>
      <c r="D177" s="67" t="s">
        <v>191</v>
      </c>
      <c r="E177" s="67" t="s">
        <v>104</v>
      </c>
      <c r="F177" s="67" t="s">
        <v>334</v>
      </c>
    </row>
    <row r="178">
      <c r="A178" s="67" t="s">
        <v>66</v>
      </c>
      <c r="B178" s="67" t="s">
        <v>157</v>
      </c>
      <c r="C178" s="67" t="s">
        <v>157</v>
      </c>
      <c r="D178" s="67" t="s">
        <v>191</v>
      </c>
      <c r="E178" s="67" t="s">
        <v>104</v>
      </c>
      <c r="F178" s="67" t="s">
        <v>334</v>
      </c>
    </row>
    <row r="179">
      <c r="A179" s="67" t="s">
        <v>342</v>
      </c>
      <c r="B179" s="67" t="s">
        <v>119</v>
      </c>
      <c r="C179" s="67" t="s">
        <v>119</v>
      </c>
      <c r="D179" s="67" t="s">
        <v>191</v>
      </c>
      <c r="E179" s="67" t="s">
        <v>153</v>
      </c>
      <c r="F179" s="67" t="s">
        <v>334</v>
      </c>
    </row>
    <row r="180">
      <c r="A180" s="67" t="s">
        <v>343</v>
      </c>
      <c r="B180" s="67" t="s">
        <v>226</v>
      </c>
      <c r="C180" s="67" t="s">
        <v>226</v>
      </c>
      <c r="D180" s="67" t="s">
        <v>191</v>
      </c>
      <c r="E180" s="67" t="s">
        <v>104</v>
      </c>
      <c r="F180" s="67" t="s">
        <v>334</v>
      </c>
    </row>
    <row r="181">
      <c r="A181" s="67" t="s">
        <v>344</v>
      </c>
      <c r="B181" s="67" t="s">
        <v>199</v>
      </c>
      <c r="C181" s="67" t="s">
        <v>199</v>
      </c>
      <c r="D181" s="67" t="s">
        <v>191</v>
      </c>
      <c r="E181" s="67" t="s">
        <v>104</v>
      </c>
      <c r="F181" s="67" t="s">
        <v>334</v>
      </c>
    </row>
    <row r="182">
      <c r="A182" s="67" t="s">
        <v>345</v>
      </c>
      <c r="B182" s="67" t="s">
        <v>128</v>
      </c>
      <c r="C182" s="67" t="s">
        <v>128</v>
      </c>
      <c r="D182" s="67" t="s">
        <v>191</v>
      </c>
      <c r="E182" s="67" t="s">
        <v>104</v>
      </c>
      <c r="F182" s="67" t="s">
        <v>334</v>
      </c>
    </row>
    <row r="183">
      <c r="A183" s="67" t="s">
        <v>346</v>
      </c>
      <c r="B183" s="67" t="s">
        <v>106</v>
      </c>
      <c r="C183" s="67" t="s">
        <v>106</v>
      </c>
      <c r="D183" s="67" t="s">
        <v>191</v>
      </c>
      <c r="E183" s="67" t="s">
        <v>111</v>
      </c>
      <c r="F183" s="67" t="s">
        <v>334</v>
      </c>
    </row>
    <row r="184">
      <c r="A184" s="67" t="s">
        <v>347</v>
      </c>
      <c r="B184" s="67" t="s">
        <v>348</v>
      </c>
      <c r="C184" s="67" t="s">
        <v>226</v>
      </c>
      <c r="D184" s="67" t="s">
        <v>282</v>
      </c>
      <c r="E184" s="67" t="s">
        <v>104</v>
      </c>
      <c r="F184" s="67" t="s">
        <v>334</v>
      </c>
    </row>
    <row r="185">
      <c r="A185" s="67" t="s">
        <v>349</v>
      </c>
      <c r="B185" s="67" t="s">
        <v>142</v>
      </c>
      <c r="C185" s="67" t="s">
        <v>219</v>
      </c>
      <c r="D185" s="67" t="s">
        <v>50</v>
      </c>
      <c r="E185" s="67" t="s">
        <v>184</v>
      </c>
      <c r="F185" s="67" t="s">
        <v>334</v>
      </c>
    </row>
    <row r="186">
      <c r="A186" s="67" t="s">
        <v>350</v>
      </c>
      <c r="B186" s="67" t="s">
        <v>144</v>
      </c>
      <c r="C186" s="67" t="s">
        <v>216</v>
      </c>
      <c r="D186" s="67" t="s">
        <v>50</v>
      </c>
      <c r="E186" s="67" t="s">
        <v>104</v>
      </c>
      <c r="F186" s="67" t="s">
        <v>334</v>
      </c>
    </row>
    <row r="187">
      <c r="A187" s="67" t="s">
        <v>351</v>
      </c>
      <c r="B187" s="67" t="s">
        <v>137</v>
      </c>
      <c r="C187" s="67" t="s">
        <v>128</v>
      </c>
      <c r="D187" s="67" t="s">
        <v>50</v>
      </c>
      <c r="E187" s="67" t="s">
        <v>158</v>
      </c>
      <c r="F187" s="67" t="s">
        <v>334</v>
      </c>
    </row>
    <row r="188">
      <c r="A188" s="67" t="s">
        <v>352</v>
      </c>
      <c r="B188" s="67" t="s">
        <v>218</v>
      </c>
      <c r="C188" s="67" t="s">
        <v>353</v>
      </c>
      <c r="D188" s="67" t="s">
        <v>50</v>
      </c>
      <c r="E188" s="67" t="s">
        <v>107</v>
      </c>
      <c r="F188" s="67" t="s">
        <v>334</v>
      </c>
    </row>
    <row r="189">
      <c r="A189" s="67" t="s">
        <v>354</v>
      </c>
      <c r="B189" s="67" t="s">
        <v>144</v>
      </c>
      <c r="C189" s="67" t="s">
        <v>113</v>
      </c>
      <c r="D189" s="67" t="s">
        <v>50</v>
      </c>
      <c r="E189" s="67" t="s">
        <v>104</v>
      </c>
      <c r="F189" s="67" t="s">
        <v>334</v>
      </c>
    </row>
    <row r="190">
      <c r="A190" s="67" t="s">
        <v>39</v>
      </c>
      <c r="B190" s="67" t="s">
        <v>209</v>
      </c>
      <c r="C190" s="67" t="s">
        <v>209</v>
      </c>
      <c r="D190" s="67" t="s">
        <v>191</v>
      </c>
      <c r="E190" s="67" t="s">
        <v>104</v>
      </c>
      <c r="F190" s="67" t="s">
        <v>355</v>
      </c>
    </row>
    <row r="191">
      <c r="A191" s="67" t="s">
        <v>55</v>
      </c>
      <c r="B191" s="67" t="s">
        <v>356</v>
      </c>
      <c r="C191" s="67" t="s">
        <v>356</v>
      </c>
      <c r="D191" s="67" t="s">
        <v>191</v>
      </c>
      <c r="E191" s="67" t="s">
        <v>153</v>
      </c>
      <c r="F191" s="67" t="s">
        <v>355</v>
      </c>
    </row>
    <row r="192">
      <c r="A192" s="67" t="s">
        <v>357</v>
      </c>
      <c r="B192" s="67" t="s">
        <v>358</v>
      </c>
      <c r="C192" s="67" t="s">
        <v>358</v>
      </c>
      <c r="D192" s="67" t="s">
        <v>191</v>
      </c>
      <c r="E192" s="67" t="s">
        <v>104</v>
      </c>
      <c r="F192" s="67" t="s">
        <v>355</v>
      </c>
    </row>
    <row r="193">
      <c r="A193" s="67" t="s">
        <v>359</v>
      </c>
      <c r="B193" s="67" t="s">
        <v>358</v>
      </c>
      <c r="C193" s="67" t="s">
        <v>358</v>
      </c>
      <c r="D193" s="67" t="s">
        <v>191</v>
      </c>
      <c r="E193" s="67" t="s">
        <v>158</v>
      </c>
      <c r="F193" s="67" t="s">
        <v>355</v>
      </c>
    </row>
    <row r="194">
      <c r="A194" s="67" t="s">
        <v>360</v>
      </c>
      <c r="B194" s="67" t="s">
        <v>361</v>
      </c>
      <c r="C194" s="67" t="s">
        <v>361</v>
      </c>
      <c r="D194" s="67" t="s">
        <v>191</v>
      </c>
      <c r="E194" s="67" t="s">
        <v>104</v>
      </c>
      <c r="F194" s="67" t="s">
        <v>355</v>
      </c>
    </row>
    <row r="195">
      <c r="A195" s="67" t="s">
        <v>15</v>
      </c>
      <c r="B195" s="67" t="s">
        <v>170</v>
      </c>
      <c r="C195" s="67" t="s">
        <v>170</v>
      </c>
      <c r="D195" s="67" t="s">
        <v>191</v>
      </c>
      <c r="E195" s="67" t="s">
        <v>104</v>
      </c>
      <c r="F195" s="67" t="s">
        <v>355</v>
      </c>
    </row>
    <row r="196">
      <c r="A196" s="67" t="s">
        <v>362</v>
      </c>
      <c r="B196" s="67" t="s">
        <v>207</v>
      </c>
      <c r="C196" s="67" t="s">
        <v>207</v>
      </c>
      <c r="D196" s="67" t="s">
        <v>191</v>
      </c>
      <c r="E196" s="67" t="s">
        <v>104</v>
      </c>
      <c r="F196" s="67" t="s">
        <v>355</v>
      </c>
    </row>
    <row r="197">
      <c r="A197" s="67" t="s">
        <v>363</v>
      </c>
      <c r="B197" s="67" t="s">
        <v>364</v>
      </c>
      <c r="C197" s="67" t="s">
        <v>364</v>
      </c>
      <c r="D197" s="67" t="s">
        <v>191</v>
      </c>
      <c r="E197" s="67" t="s">
        <v>107</v>
      </c>
      <c r="F197" s="67" t="s">
        <v>355</v>
      </c>
    </row>
    <row r="198">
      <c r="A198" s="67" t="s">
        <v>365</v>
      </c>
      <c r="B198" s="67" t="s">
        <v>113</v>
      </c>
      <c r="C198" s="67" t="s">
        <v>113</v>
      </c>
      <c r="D198" s="67" t="s">
        <v>191</v>
      </c>
      <c r="E198" s="67" t="s">
        <v>104</v>
      </c>
      <c r="F198" s="67" t="s">
        <v>355</v>
      </c>
    </row>
    <row r="199">
      <c r="A199" s="67" t="s">
        <v>366</v>
      </c>
      <c r="B199" s="67" t="s">
        <v>113</v>
      </c>
      <c r="C199" s="67" t="s">
        <v>113</v>
      </c>
      <c r="D199" s="67" t="s">
        <v>191</v>
      </c>
      <c r="E199" s="67" t="s">
        <v>104</v>
      </c>
      <c r="F199" s="67" t="s">
        <v>355</v>
      </c>
    </row>
    <row r="200">
      <c r="A200" s="67" t="s">
        <v>367</v>
      </c>
      <c r="B200" s="67" t="s">
        <v>368</v>
      </c>
      <c r="C200" s="67" t="s">
        <v>368</v>
      </c>
      <c r="D200" s="67" t="s">
        <v>191</v>
      </c>
      <c r="E200" s="67" t="s">
        <v>104</v>
      </c>
      <c r="F200" s="67" t="s">
        <v>355</v>
      </c>
    </row>
    <row r="201">
      <c r="A201" s="67" t="s">
        <v>369</v>
      </c>
      <c r="B201" s="67" t="s">
        <v>131</v>
      </c>
      <c r="C201" s="67" t="s">
        <v>131</v>
      </c>
      <c r="D201" s="67" t="s">
        <v>191</v>
      </c>
      <c r="E201" s="67" t="s">
        <v>107</v>
      </c>
      <c r="F201" s="67" t="s">
        <v>355</v>
      </c>
    </row>
    <row r="202">
      <c r="A202" s="67" t="s">
        <v>370</v>
      </c>
      <c r="B202" s="67" t="s">
        <v>371</v>
      </c>
      <c r="C202" s="67" t="s">
        <v>371</v>
      </c>
      <c r="D202" s="67" t="s">
        <v>191</v>
      </c>
      <c r="E202" s="67" t="s">
        <v>104</v>
      </c>
      <c r="F202" s="67" t="s">
        <v>355</v>
      </c>
    </row>
    <row r="203">
      <c r="A203" s="67" t="s">
        <v>372</v>
      </c>
      <c r="B203" s="67" t="s">
        <v>113</v>
      </c>
      <c r="C203" s="67" t="s">
        <v>113</v>
      </c>
      <c r="D203" s="67" t="s">
        <v>191</v>
      </c>
      <c r="E203" s="67" t="s">
        <v>104</v>
      </c>
      <c r="F203" s="67" t="s">
        <v>355</v>
      </c>
    </row>
    <row r="204">
      <c r="A204" s="67" t="s">
        <v>373</v>
      </c>
      <c r="B204" s="67" t="s">
        <v>113</v>
      </c>
      <c r="C204" s="67" t="s">
        <v>113</v>
      </c>
      <c r="D204" s="67" t="s">
        <v>191</v>
      </c>
      <c r="E204" s="67" t="s">
        <v>104</v>
      </c>
      <c r="F204" s="67" t="s">
        <v>355</v>
      </c>
    </row>
    <row r="205">
      <c r="A205" s="67" t="s">
        <v>9</v>
      </c>
      <c r="B205" s="67" t="s">
        <v>374</v>
      </c>
      <c r="C205" s="67" t="s">
        <v>375</v>
      </c>
      <c r="D205" s="67" t="s">
        <v>282</v>
      </c>
      <c r="E205" s="67" t="s">
        <v>153</v>
      </c>
      <c r="F205" s="67" t="s">
        <v>355</v>
      </c>
    </row>
    <row r="206">
      <c r="A206" s="67" t="s">
        <v>93</v>
      </c>
      <c r="B206" s="67" t="s">
        <v>142</v>
      </c>
      <c r="C206" s="67" t="s">
        <v>316</v>
      </c>
      <c r="D206" s="67" t="s">
        <v>50</v>
      </c>
      <c r="E206" s="67" t="s">
        <v>184</v>
      </c>
      <c r="F206" s="67" t="s">
        <v>355</v>
      </c>
    </row>
    <row r="207">
      <c r="A207" s="67" t="s">
        <v>376</v>
      </c>
      <c r="B207" s="67" t="s">
        <v>144</v>
      </c>
      <c r="C207" s="67" t="s">
        <v>179</v>
      </c>
      <c r="D207" s="67" t="s">
        <v>50</v>
      </c>
      <c r="E207" s="67" t="s">
        <v>104</v>
      </c>
      <c r="F207" s="67" t="s">
        <v>355</v>
      </c>
    </row>
    <row r="208">
      <c r="A208" s="67" t="s">
        <v>82</v>
      </c>
      <c r="B208" s="67" t="s">
        <v>140</v>
      </c>
      <c r="C208" s="67" t="s">
        <v>147</v>
      </c>
      <c r="D208" s="67" t="s">
        <v>50</v>
      </c>
      <c r="E208" s="67" t="s">
        <v>111</v>
      </c>
      <c r="F208" s="67" t="s">
        <v>355</v>
      </c>
    </row>
    <row r="209">
      <c r="A209" s="67" t="s">
        <v>377</v>
      </c>
      <c r="B209" s="67" t="s">
        <v>178</v>
      </c>
      <c r="C209" s="67" t="s">
        <v>119</v>
      </c>
      <c r="D209" s="67" t="s">
        <v>50</v>
      </c>
      <c r="E209" s="67" t="s">
        <v>107</v>
      </c>
      <c r="F209" s="67" t="s">
        <v>355</v>
      </c>
    </row>
    <row r="210">
      <c r="A210" s="67" t="s">
        <v>378</v>
      </c>
      <c r="B210" s="67" t="s">
        <v>144</v>
      </c>
      <c r="C210" s="67" t="s">
        <v>113</v>
      </c>
      <c r="D210" s="67" t="s">
        <v>50</v>
      </c>
      <c r="E210" s="67" t="s">
        <v>104</v>
      </c>
      <c r="F210" s="67" t="s">
        <v>355</v>
      </c>
    </row>
    <row r="211">
      <c r="A211" s="67" t="s">
        <v>379</v>
      </c>
      <c r="B211" s="67" t="s">
        <v>144</v>
      </c>
      <c r="C211" s="67" t="s">
        <v>113</v>
      </c>
      <c r="D211" s="67" t="s">
        <v>50</v>
      </c>
      <c r="E211" s="67" t="s">
        <v>104</v>
      </c>
      <c r="F211" s="67" t="s">
        <v>355</v>
      </c>
    </row>
    <row r="212">
      <c r="A212" s="67" t="s">
        <v>380</v>
      </c>
      <c r="B212" s="67" t="s">
        <v>381</v>
      </c>
      <c r="C212" s="67" t="s">
        <v>138</v>
      </c>
      <c r="D212" s="67" t="s">
        <v>282</v>
      </c>
      <c r="E212" s="67" t="s">
        <v>104</v>
      </c>
      <c r="F212" s="67" t="s">
        <v>355</v>
      </c>
    </row>
    <row r="213">
      <c r="A213" s="67" t="s">
        <v>382</v>
      </c>
      <c r="B213" s="67" t="s">
        <v>383</v>
      </c>
      <c r="C213" s="67" t="s">
        <v>196</v>
      </c>
      <c r="D213" s="67" t="s">
        <v>384</v>
      </c>
      <c r="E213" s="67" t="s">
        <v>104</v>
      </c>
      <c r="F213" s="67" t="s">
        <v>385</v>
      </c>
    </row>
    <row r="214">
      <c r="A214" s="67" t="s">
        <v>386</v>
      </c>
      <c r="B214" s="67" t="s">
        <v>199</v>
      </c>
      <c r="C214" s="67" t="s">
        <v>199</v>
      </c>
      <c r="D214" s="67" t="s">
        <v>191</v>
      </c>
      <c r="E214" s="67" t="s">
        <v>158</v>
      </c>
      <c r="F214" s="67" t="s">
        <v>385</v>
      </c>
    </row>
    <row r="215">
      <c r="A215" s="67" t="s">
        <v>80</v>
      </c>
      <c r="B215" s="67" t="s">
        <v>335</v>
      </c>
      <c r="C215" s="67" t="s">
        <v>335</v>
      </c>
      <c r="D215" s="67" t="s">
        <v>191</v>
      </c>
      <c r="E215" s="67" t="s">
        <v>104</v>
      </c>
      <c r="F215" s="67" t="s">
        <v>385</v>
      </c>
    </row>
    <row r="216">
      <c r="A216" s="67" t="s">
        <v>38</v>
      </c>
      <c r="B216" s="67" t="s">
        <v>261</v>
      </c>
      <c r="C216" s="67" t="s">
        <v>261</v>
      </c>
      <c r="D216" s="67" t="s">
        <v>191</v>
      </c>
      <c r="E216" s="67" t="s">
        <v>104</v>
      </c>
      <c r="F216" s="67" t="s">
        <v>385</v>
      </c>
    </row>
    <row r="217">
      <c r="A217" s="67" t="s">
        <v>387</v>
      </c>
      <c r="B217" s="67" t="s">
        <v>157</v>
      </c>
      <c r="C217" s="67" t="s">
        <v>157</v>
      </c>
      <c r="D217" s="67" t="s">
        <v>191</v>
      </c>
      <c r="E217" s="67" t="s">
        <v>104</v>
      </c>
      <c r="F217" s="67" t="s">
        <v>385</v>
      </c>
    </row>
    <row r="218">
      <c r="A218" s="67" t="s">
        <v>388</v>
      </c>
      <c r="B218" s="67" t="s">
        <v>115</v>
      </c>
      <c r="C218" s="67" t="s">
        <v>115</v>
      </c>
      <c r="D218" s="67" t="s">
        <v>191</v>
      </c>
      <c r="E218" s="67" t="s">
        <v>104</v>
      </c>
      <c r="F218" s="67" t="s">
        <v>385</v>
      </c>
    </row>
    <row r="219">
      <c r="A219" s="67" t="s">
        <v>389</v>
      </c>
      <c r="B219" s="67" t="s">
        <v>327</v>
      </c>
      <c r="C219" s="67" t="s">
        <v>327</v>
      </c>
      <c r="D219" s="67" t="s">
        <v>191</v>
      </c>
      <c r="E219" s="67" t="s">
        <v>158</v>
      </c>
      <c r="F219" s="67" t="s">
        <v>385</v>
      </c>
    </row>
    <row r="220">
      <c r="A220" s="67" t="s">
        <v>16</v>
      </c>
      <c r="B220" s="67" t="s">
        <v>390</v>
      </c>
      <c r="C220" s="67" t="s">
        <v>390</v>
      </c>
      <c r="D220" s="67" t="s">
        <v>191</v>
      </c>
      <c r="E220" s="67" t="s">
        <v>104</v>
      </c>
      <c r="F220" s="67" t="s">
        <v>385</v>
      </c>
    </row>
    <row r="221">
      <c r="A221" s="67" t="s">
        <v>391</v>
      </c>
      <c r="B221" s="67" t="s">
        <v>115</v>
      </c>
      <c r="C221" s="67" t="s">
        <v>115</v>
      </c>
      <c r="D221" s="67" t="s">
        <v>191</v>
      </c>
      <c r="E221" s="67" t="s">
        <v>104</v>
      </c>
      <c r="F221" s="67" t="s">
        <v>385</v>
      </c>
    </row>
    <row r="222">
      <c r="A222" s="67" t="s">
        <v>62</v>
      </c>
      <c r="B222" s="67" t="s">
        <v>327</v>
      </c>
      <c r="C222" s="67" t="s">
        <v>327</v>
      </c>
      <c r="D222" s="67" t="s">
        <v>191</v>
      </c>
      <c r="E222" s="67" t="s">
        <v>104</v>
      </c>
      <c r="F222" s="67" t="s">
        <v>385</v>
      </c>
    </row>
    <row r="223">
      <c r="A223" s="67" t="s">
        <v>392</v>
      </c>
      <c r="B223" s="67" t="s">
        <v>115</v>
      </c>
      <c r="C223" s="67" t="s">
        <v>115</v>
      </c>
      <c r="D223" s="67" t="s">
        <v>191</v>
      </c>
      <c r="E223" s="67" t="s">
        <v>104</v>
      </c>
      <c r="F223" s="67" t="s">
        <v>385</v>
      </c>
    </row>
    <row r="224">
      <c r="A224" s="67" t="s">
        <v>393</v>
      </c>
      <c r="B224" s="67" t="s">
        <v>128</v>
      </c>
      <c r="C224" s="67" t="s">
        <v>128</v>
      </c>
      <c r="D224" s="67" t="s">
        <v>191</v>
      </c>
      <c r="E224" s="67" t="s">
        <v>190</v>
      </c>
      <c r="F224" s="67" t="s">
        <v>385</v>
      </c>
    </row>
    <row r="225">
      <c r="A225" s="67" t="s">
        <v>382</v>
      </c>
      <c r="B225" s="67" t="s">
        <v>383</v>
      </c>
      <c r="C225" s="67" t="s">
        <v>196</v>
      </c>
      <c r="D225" s="67" t="s">
        <v>282</v>
      </c>
      <c r="E225" s="67" t="s">
        <v>104</v>
      </c>
      <c r="F225" s="67" t="s">
        <v>385</v>
      </c>
    </row>
    <row r="226">
      <c r="A226" s="67" t="s">
        <v>394</v>
      </c>
      <c r="B226" s="67" t="s">
        <v>140</v>
      </c>
      <c r="C226" s="67" t="s">
        <v>395</v>
      </c>
      <c r="D226" s="67" t="s">
        <v>50</v>
      </c>
      <c r="E226" s="67" t="s">
        <v>153</v>
      </c>
      <c r="F226" s="67" t="s">
        <v>385</v>
      </c>
    </row>
    <row r="227">
      <c r="A227" s="67" t="s">
        <v>396</v>
      </c>
      <c r="B227" s="67" t="s">
        <v>178</v>
      </c>
      <c r="C227" s="67" t="s">
        <v>119</v>
      </c>
      <c r="D227" s="67" t="s">
        <v>50</v>
      </c>
      <c r="E227" s="67" t="s">
        <v>126</v>
      </c>
      <c r="F227" s="67" t="s">
        <v>385</v>
      </c>
    </row>
    <row r="228">
      <c r="A228" s="67" t="s">
        <v>53</v>
      </c>
      <c r="B228" s="67" t="s">
        <v>140</v>
      </c>
      <c r="C228" s="67" t="s">
        <v>397</v>
      </c>
      <c r="D228" s="67" t="s">
        <v>50</v>
      </c>
      <c r="E228" s="67" t="s">
        <v>153</v>
      </c>
      <c r="F228" s="67" t="s">
        <v>385</v>
      </c>
    </row>
    <row r="229">
      <c r="A229" s="67" t="s">
        <v>398</v>
      </c>
      <c r="B229" s="67" t="s">
        <v>137</v>
      </c>
      <c r="C229" s="67" t="s">
        <v>399</v>
      </c>
      <c r="D229" s="67" t="s">
        <v>50</v>
      </c>
      <c r="E229" s="67" t="s">
        <v>104</v>
      </c>
      <c r="F229" s="67" t="s">
        <v>385</v>
      </c>
    </row>
    <row r="230">
      <c r="A230" s="67" t="s">
        <v>400</v>
      </c>
      <c r="B230" s="67" t="s">
        <v>144</v>
      </c>
      <c r="C230" s="67" t="s">
        <v>113</v>
      </c>
      <c r="D230" s="67" t="s">
        <v>50</v>
      </c>
      <c r="E230" s="67" t="s">
        <v>104</v>
      </c>
      <c r="F230" s="67" t="s">
        <v>385</v>
      </c>
    </row>
    <row r="231">
      <c r="A231" s="67" t="s">
        <v>401</v>
      </c>
      <c r="B231" s="67" t="s">
        <v>144</v>
      </c>
      <c r="C231" s="67" t="s">
        <v>113</v>
      </c>
      <c r="D231" s="67" t="s">
        <v>50</v>
      </c>
      <c r="E231" s="67" t="s">
        <v>104</v>
      </c>
      <c r="F231" s="67" t="s">
        <v>385</v>
      </c>
    </row>
    <row r="232">
      <c r="A232" s="67" t="s">
        <v>51</v>
      </c>
      <c r="B232" s="67" t="s">
        <v>123</v>
      </c>
      <c r="C232" s="67" t="s">
        <v>187</v>
      </c>
      <c r="D232" s="67" t="s">
        <v>402</v>
      </c>
      <c r="E232" s="67" t="s">
        <v>107</v>
      </c>
      <c r="F232" s="67" t="s">
        <v>187</v>
      </c>
    </row>
    <row r="233">
      <c r="A233" s="67" t="s">
        <v>403</v>
      </c>
      <c r="B233" s="67" t="s">
        <v>110</v>
      </c>
      <c r="C233" s="67" t="s">
        <v>187</v>
      </c>
      <c r="D233" s="67" t="s">
        <v>402</v>
      </c>
      <c r="E233" s="67" t="s">
        <v>107</v>
      </c>
      <c r="F233" s="67" t="s">
        <v>187</v>
      </c>
    </row>
    <row r="234">
      <c r="A234" s="67" t="s">
        <v>404</v>
      </c>
      <c r="B234" s="67" t="s">
        <v>147</v>
      </c>
      <c r="C234" s="67" t="s">
        <v>187</v>
      </c>
      <c r="D234" s="67" t="s">
        <v>41</v>
      </c>
      <c r="E234" s="67" t="s">
        <v>153</v>
      </c>
      <c r="F234" s="67" t="s">
        <v>187</v>
      </c>
    </row>
    <row r="235">
      <c r="A235" s="67" t="s">
        <v>7</v>
      </c>
      <c r="B235" s="67" t="s">
        <v>119</v>
      </c>
      <c r="C235" s="67" t="s">
        <v>187</v>
      </c>
      <c r="D235" s="67" t="s">
        <v>41</v>
      </c>
      <c r="E235" s="67" t="s">
        <v>107</v>
      </c>
      <c r="F235" s="67" t="s">
        <v>187</v>
      </c>
    </row>
    <row r="236">
      <c r="A236" s="67" t="s">
        <v>18</v>
      </c>
      <c r="B236" s="67" t="s">
        <v>147</v>
      </c>
      <c r="C236" s="67" t="s">
        <v>187</v>
      </c>
      <c r="D236" s="67" t="s">
        <v>402</v>
      </c>
      <c r="E236" s="67" t="s">
        <v>153</v>
      </c>
      <c r="F236" s="67" t="s">
        <v>187</v>
      </c>
    </row>
    <row r="237">
      <c r="A237" s="67" t="s">
        <v>405</v>
      </c>
      <c r="B237" s="67" t="s">
        <v>147</v>
      </c>
      <c r="C237" s="67" t="s">
        <v>187</v>
      </c>
      <c r="D237" s="67" t="s">
        <v>41</v>
      </c>
      <c r="E237" s="67" t="s">
        <v>107</v>
      </c>
      <c r="F237" s="67" t="s">
        <v>187</v>
      </c>
    </row>
    <row r="238">
      <c r="A238" s="67" t="s">
        <v>406</v>
      </c>
      <c r="B238" s="67" t="s">
        <v>110</v>
      </c>
      <c r="C238" s="67" t="s">
        <v>187</v>
      </c>
      <c r="D238" s="67" t="s">
        <v>41</v>
      </c>
      <c r="E238" s="67" t="s">
        <v>158</v>
      </c>
      <c r="F238" s="67" t="s">
        <v>187</v>
      </c>
    </row>
    <row r="239">
      <c r="A239" s="67" t="s">
        <v>407</v>
      </c>
      <c r="B239" s="67" t="s">
        <v>147</v>
      </c>
      <c r="C239" s="67" t="s">
        <v>187</v>
      </c>
      <c r="D239" s="67" t="s">
        <v>41</v>
      </c>
      <c r="E239" s="67" t="s">
        <v>107</v>
      </c>
      <c r="F239" s="67" t="s">
        <v>187</v>
      </c>
    </row>
    <row r="240">
      <c r="A240" s="67" t="s">
        <v>408</v>
      </c>
      <c r="B240" s="67" t="s">
        <v>128</v>
      </c>
      <c r="C240" s="67" t="s">
        <v>187</v>
      </c>
      <c r="D240" s="67" t="s">
        <v>41</v>
      </c>
      <c r="E240" s="67" t="s">
        <v>409</v>
      </c>
      <c r="F240" s="67" t="s">
        <v>187</v>
      </c>
    </row>
    <row r="241">
      <c r="A241" s="67" t="s">
        <v>410</v>
      </c>
      <c r="B241" s="67" t="s">
        <v>128</v>
      </c>
      <c r="C241" s="67" t="s">
        <v>187</v>
      </c>
      <c r="D241" s="67" t="s">
        <v>41</v>
      </c>
      <c r="E241" s="67" t="s">
        <v>126</v>
      </c>
      <c r="F241" s="67" t="s">
        <v>187</v>
      </c>
    </row>
    <row r="242">
      <c r="A242" s="67" t="s">
        <v>411</v>
      </c>
      <c r="B242" s="67" t="s">
        <v>147</v>
      </c>
      <c r="C242" s="67" t="s">
        <v>187</v>
      </c>
      <c r="D242" s="67" t="s">
        <v>41</v>
      </c>
      <c r="E242" s="67" t="s">
        <v>153</v>
      </c>
      <c r="F242" s="67" t="s">
        <v>187</v>
      </c>
    </row>
    <row r="243">
      <c r="A243" s="67" t="s">
        <v>412</v>
      </c>
      <c r="B243" s="67" t="s">
        <v>110</v>
      </c>
      <c r="C243" s="67" t="s">
        <v>187</v>
      </c>
      <c r="D243" s="67" t="s">
        <v>41</v>
      </c>
      <c r="E243" s="67" t="s">
        <v>111</v>
      </c>
      <c r="F243" s="67" t="s">
        <v>187</v>
      </c>
    </row>
    <row r="244">
      <c r="A244" s="67" t="s">
        <v>413</v>
      </c>
      <c r="B244" s="67" t="s">
        <v>147</v>
      </c>
      <c r="C244" s="67" t="s">
        <v>187</v>
      </c>
      <c r="D244" s="67" t="s">
        <v>41</v>
      </c>
      <c r="E244" s="67" t="s">
        <v>153</v>
      </c>
      <c r="F244" s="67" t="s">
        <v>187</v>
      </c>
    </row>
    <row r="245">
      <c r="A245" s="67" t="s">
        <v>414</v>
      </c>
      <c r="B245" s="67" t="s">
        <v>147</v>
      </c>
      <c r="C245" s="67" t="s">
        <v>187</v>
      </c>
      <c r="D245" s="67" t="s">
        <v>41</v>
      </c>
      <c r="E245" s="67" t="s">
        <v>153</v>
      </c>
      <c r="F245" s="67" t="s">
        <v>187</v>
      </c>
    </row>
    <row r="246">
      <c r="A246" s="67" t="s">
        <v>92</v>
      </c>
      <c r="B246" s="67" t="s">
        <v>119</v>
      </c>
      <c r="C246" s="67" t="s">
        <v>187</v>
      </c>
      <c r="D246" s="67" t="s">
        <v>41</v>
      </c>
      <c r="E246" s="67" t="s">
        <v>184</v>
      </c>
      <c r="F246" s="67" t="s">
        <v>187</v>
      </c>
    </row>
    <row r="247">
      <c r="A247" s="67" t="s">
        <v>415</v>
      </c>
      <c r="B247" s="67" t="s">
        <v>128</v>
      </c>
      <c r="C247" s="67" t="s">
        <v>187</v>
      </c>
      <c r="D247" s="67" t="s">
        <v>41</v>
      </c>
      <c r="E247" s="67" t="s">
        <v>126</v>
      </c>
      <c r="F247" s="67" t="s">
        <v>187</v>
      </c>
    </row>
    <row r="248">
      <c r="A248" s="67" t="s">
        <v>416</v>
      </c>
      <c r="B248" s="67" t="s">
        <v>128</v>
      </c>
      <c r="C248" s="67" t="s">
        <v>187</v>
      </c>
      <c r="D248" s="67" t="s">
        <v>41</v>
      </c>
      <c r="E248" s="67" t="s">
        <v>104</v>
      </c>
      <c r="F248" s="67" t="s">
        <v>187</v>
      </c>
    </row>
    <row r="249">
      <c r="A249" s="67" t="s">
        <v>85</v>
      </c>
      <c r="B249" s="67" t="s">
        <v>113</v>
      </c>
      <c r="C249" s="67" t="s">
        <v>187</v>
      </c>
      <c r="D249" s="67" t="s">
        <v>41</v>
      </c>
      <c r="E249" s="67" t="s">
        <v>104</v>
      </c>
      <c r="F249" s="67" t="s">
        <v>187</v>
      </c>
    </row>
    <row r="250">
      <c r="A250" s="67" t="s">
        <v>95</v>
      </c>
      <c r="B250" s="67" t="s">
        <v>128</v>
      </c>
      <c r="C250" s="67" t="s">
        <v>187</v>
      </c>
      <c r="D250" s="67" t="s">
        <v>41</v>
      </c>
      <c r="E250" s="67" t="s">
        <v>104</v>
      </c>
      <c r="F250" s="67" t="s">
        <v>187</v>
      </c>
    </row>
    <row r="251">
      <c r="A251" s="67" t="s">
        <v>96</v>
      </c>
      <c r="B251" s="67" t="s">
        <v>128</v>
      </c>
      <c r="C251" s="67" t="s">
        <v>187</v>
      </c>
      <c r="D251" s="67" t="s">
        <v>41</v>
      </c>
      <c r="E251" s="67" t="s">
        <v>104</v>
      </c>
      <c r="F251" s="67" t="s">
        <v>187</v>
      </c>
    </row>
    <row r="252">
      <c r="A252" s="67" t="s">
        <v>12</v>
      </c>
      <c r="B252" s="67" t="s">
        <v>113</v>
      </c>
      <c r="C252" s="67" t="s">
        <v>187</v>
      </c>
      <c r="D252" s="67" t="s">
        <v>41</v>
      </c>
      <c r="E252" s="67" t="s">
        <v>104</v>
      </c>
      <c r="F252" s="67" t="s">
        <v>187</v>
      </c>
    </row>
    <row r="253">
      <c r="A253" s="67" t="s">
        <v>97</v>
      </c>
      <c r="B253" s="67" t="s">
        <v>113</v>
      </c>
      <c r="C253" s="67" t="s">
        <v>187</v>
      </c>
      <c r="D253" s="67" t="s">
        <v>41</v>
      </c>
      <c r="E253" s="67" t="s">
        <v>104</v>
      </c>
      <c r="F253" s="67" t="s">
        <v>187</v>
      </c>
    </row>
    <row r="254">
      <c r="A254" s="67" t="s">
        <v>14</v>
      </c>
      <c r="B254" s="67" t="s">
        <v>113</v>
      </c>
      <c r="C254" s="67" t="s">
        <v>187</v>
      </c>
      <c r="D254" s="67" t="s">
        <v>41</v>
      </c>
      <c r="E254" s="67" t="s">
        <v>104</v>
      </c>
      <c r="F254" s="67" t="s">
        <v>187</v>
      </c>
    </row>
    <row r="255">
      <c r="A255" s="67" t="s">
        <v>417</v>
      </c>
      <c r="B255" s="67" t="s">
        <v>113</v>
      </c>
      <c r="C255" s="67" t="s">
        <v>187</v>
      </c>
      <c r="D255" s="67" t="s">
        <v>41</v>
      </c>
      <c r="E255" s="67" t="s">
        <v>104</v>
      </c>
      <c r="F255" s="67" t="s">
        <v>187</v>
      </c>
    </row>
    <row r="256">
      <c r="A256" s="67" t="s">
        <v>418</v>
      </c>
      <c r="B256" s="67" t="s">
        <v>113</v>
      </c>
      <c r="C256" s="67" t="s">
        <v>187</v>
      </c>
      <c r="D256" s="67" t="s">
        <v>41</v>
      </c>
      <c r="E256" s="67" t="s">
        <v>104</v>
      </c>
      <c r="F256" s="67" t="s">
        <v>187</v>
      </c>
    </row>
    <row r="257">
      <c r="A257" s="67" t="s">
        <v>419</v>
      </c>
      <c r="B257" s="67" t="s">
        <v>113</v>
      </c>
      <c r="C257" s="67" t="s">
        <v>187</v>
      </c>
      <c r="D257" s="67" t="s">
        <v>41</v>
      </c>
      <c r="E257" s="67" t="s">
        <v>104</v>
      </c>
      <c r="F257" s="67" t="s">
        <v>187</v>
      </c>
    </row>
    <row r="258">
      <c r="A258" s="67" t="s">
        <v>420</v>
      </c>
      <c r="B258" s="67" t="s">
        <v>113</v>
      </c>
      <c r="C258" s="67" t="s">
        <v>187</v>
      </c>
      <c r="D258" s="67" t="s">
        <v>41</v>
      </c>
      <c r="E258" s="67" t="s">
        <v>104</v>
      </c>
      <c r="F258" s="67" t="s">
        <v>187</v>
      </c>
    </row>
    <row r="259">
      <c r="A259" s="67" t="s">
        <v>421</v>
      </c>
      <c r="B259" s="67" t="s">
        <v>113</v>
      </c>
      <c r="C259" s="67" t="s">
        <v>187</v>
      </c>
      <c r="D259" s="67" t="s">
        <v>41</v>
      </c>
      <c r="E259" s="67" t="s">
        <v>104</v>
      </c>
      <c r="F259" s="67" t="s">
        <v>187</v>
      </c>
    </row>
    <row r="260">
      <c r="A260" s="67" t="s">
        <v>422</v>
      </c>
      <c r="B260" s="67" t="s">
        <v>113</v>
      </c>
      <c r="C260" s="67" t="s">
        <v>187</v>
      </c>
      <c r="D260" s="67" t="s">
        <v>41</v>
      </c>
      <c r="E260" s="67" t="s">
        <v>104</v>
      </c>
      <c r="F260" s="67" t="s">
        <v>187</v>
      </c>
    </row>
    <row r="261">
      <c r="A261" s="67" t="s">
        <v>423</v>
      </c>
      <c r="B261" s="67" t="s">
        <v>113</v>
      </c>
      <c r="C261" s="67" t="s">
        <v>187</v>
      </c>
      <c r="D261" s="67" t="s">
        <v>41</v>
      </c>
      <c r="E261" s="67" t="s">
        <v>104</v>
      </c>
      <c r="F261" s="67" t="s">
        <v>187</v>
      </c>
    </row>
    <row r="262">
      <c r="A262" s="67" t="s">
        <v>424</v>
      </c>
      <c r="B262" s="67" t="s">
        <v>113</v>
      </c>
      <c r="C262" s="67" t="s">
        <v>187</v>
      </c>
      <c r="D262" s="67" t="s">
        <v>41</v>
      </c>
      <c r="E262" s="67" t="s">
        <v>104</v>
      </c>
      <c r="F262" s="67" t="s">
        <v>187</v>
      </c>
    </row>
    <row r="263">
      <c r="A263" s="67" t="s">
        <v>425</v>
      </c>
      <c r="B263" s="67" t="s">
        <v>113</v>
      </c>
      <c r="C263" s="67" t="s">
        <v>187</v>
      </c>
      <c r="D263" s="67" t="s">
        <v>41</v>
      </c>
      <c r="E263" s="67" t="s">
        <v>104</v>
      </c>
      <c r="F263" s="67" t="s">
        <v>187</v>
      </c>
    </row>
    <row r="264">
      <c r="A264" s="67" t="s">
        <v>426</v>
      </c>
      <c r="B264" s="67" t="s">
        <v>113</v>
      </c>
      <c r="C264" s="67" t="s">
        <v>187</v>
      </c>
      <c r="D264" s="67" t="s">
        <v>41</v>
      </c>
      <c r="E264" s="67" t="s">
        <v>104</v>
      </c>
      <c r="F264" s="67" t="s">
        <v>187</v>
      </c>
    </row>
    <row r="265">
      <c r="A265" s="67" t="s">
        <v>427</v>
      </c>
      <c r="B265" s="67" t="s">
        <v>113</v>
      </c>
      <c r="C265" s="67" t="s">
        <v>187</v>
      </c>
      <c r="D265" s="67" t="s">
        <v>41</v>
      </c>
      <c r="E265" s="67" t="s">
        <v>104</v>
      </c>
      <c r="F265" s="67" t="s">
        <v>187</v>
      </c>
    </row>
    <row r="266">
      <c r="A266" s="67" t="s">
        <v>428</v>
      </c>
      <c r="B266" s="67" t="s">
        <v>113</v>
      </c>
      <c r="C266" s="67" t="s">
        <v>187</v>
      </c>
      <c r="D266" s="67" t="s">
        <v>41</v>
      </c>
      <c r="E266" s="67" t="s">
        <v>104</v>
      </c>
      <c r="F266" s="67" t="s">
        <v>187</v>
      </c>
    </row>
    <row r="267">
      <c r="A267" s="67" t="s">
        <v>429</v>
      </c>
      <c r="B267" s="67" t="s">
        <v>113</v>
      </c>
      <c r="C267" s="67" t="s">
        <v>187</v>
      </c>
      <c r="D267" s="67" t="s">
        <v>41</v>
      </c>
      <c r="E267" s="67" t="s">
        <v>104</v>
      </c>
      <c r="F267" s="67" t="s">
        <v>187</v>
      </c>
    </row>
  </sheetData>
  <conditionalFormatting sqref="E1:E996">
    <cfRule type="cellIs" dxfId="0" priority="1" operator="equal">
      <formula>"India"</formula>
    </cfRule>
  </conditionalFormatting>
  <conditionalFormatting sqref="E1:E996">
    <cfRule type="cellIs" dxfId="0" priority="2" operator="equal">
      <formula>"India"</formula>
    </cfRule>
  </conditionalFormatting>
  <drawing r:id="rId1"/>
</worksheet>
</file>